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9C5309F0-8840-45EE-9729-25BA1F694213}" xr6:coauthVersionLast="47" xr6:coauthVersionMax="47" xr10:uidLastSave="{00000000-0000-0000-0000-000000000000}"/>
  <bookViews>
    <workbookView xWindow="-108" yWindow="-108" windowWidth="23256" windowHeight="12456" xr2:uid="{00000000-000D-0000-FFFF-FFFF00000000}"/>
  </bookViews>
  <sheets>
    <sheet name="Q1 " sheetId="1" r:id="rId1"/>
    <sheet name="Sheet1" sheetId="6" r:id="rId2"/>
    <sheet name="Q2" sheetId="5" r:id="rId3"/>
    <sheet name="Q3" sheetId="3" r:id="rId4"/>
    <sheet name="q4"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76" i="1" l="1"/>
  <c r="X177" i="1"/>
  <c r="X178" i="1"/>
  <c r="X182" i="1"/>
  <c r="X181" i="1"/>
  <c r="X180" i="1"/>
  <c r="X179" i="1"/>
  <c r="W6" i="1"/>
  <c r="W5" i="1"/>
  <c r="W4" i="1"/>
  <c r="W3" i="1"/>
  <c r="N618" i="1"/>
  <c r="N617" i="1"/>
  <c r="N616"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08" i="1"/>
  <c r="N609" i="1"/>
  <c r="N610" i="1"/>
  <c r="N611" i="1"/>
  <c r="N612" i="1"/>
  <c r="N613" i="1"/>
  <c r="N614" i="1"/>
  <c r="N615" i="1"/>
  <c r="N607" i="1"/>
  <c r="N605" i="1"/>
  <c r="N603" i="1"/>
  <c r="N604" i="1"/>
  <c r="N600" i="1"/>
  <c r="J600" i="1" a="1"/>
  <c r="J600" i="1" s="1"/>
  <c r="I600" i="1" a="1"/>
  <c r="I600" i="1" s="1"/>
  <c r="N599" i="1"/>
  <c r="N598" i="1"/>
  <c r="J597" i="1" a="1"/>
  <c r="J597" i="1" s="1"/>
  <c r="N596" i="1"/>
  <c r="N595" i="1"/>
  <c r="N594" i="1"/>
  <c r="N593" i="1"/>
  <c r="J593" i="1" a="1"/>
  <c r="J593" i="1" s="1"/>
  <c r="I593" i="1" a="1"/>
  <c r="I593" i="1" s="1"/>
  <c r="N592" i="1"/>
  <c r="N591" i="1"/>
  <c r="N590" i="1"/>
  <c r="J590" i="1" a="1"/>
  <c r="J590" i="1" s="1"/>
  <c r="I590" i="1" a="1"/>
  <c r="I590" i="1" s="1"/>
  <c r="N589" i="1"/>
  <c r="J589" i="1" a="1"/>
  <c r="J589" i="1" s="1"/>
  <c r="I589" i="1" a="1"/>
  <c r="I589" i="1" s="1"/>
  <c r="N588" i="1"/>
  <c r="N587" i="1"/>
  <c r="J587" i="1" a="1"/>
  <c r="J587" i="1" s="1"/>
  <c r="I587" i="1" a="1"/>
  <c r="I587" i="1" s="1"/>
  <c r="N586" i="1"/>
  <c r="J585" i="1" a="1"/>
  <c r="J585" i="1" s="1"/>
  <c r="I585" i="1" a="1"/>
  <c r="I585" i="1" s="1"/>
  <c r="J584" i="1" a="1"/>
  <c r="J584" i="1" s="1"/>
  <c r="N583" i="1"/>
  <c r="J583" i="1" a="1"/>
  <c r="J583" i="1" s="1"/>
  <c r="I583" i="1" a="1"/>
  <c r="I583" i="1" s="1"/>
  <c r="N582" i="1"/>
  <c r="N581" i="1"/>
  <c r="J581" i="1" a="1"/>
  <c r="J581" i="1" s="1"/>
  <c r="I581" i="1" a="1"/>
  <c r="I581" i="1" s="1"/>
  <c r="N580" i="1"/>
  <c r="J580" i="1" a="1"/>
  <c r="J580" i="1" s="1"/>
  <c r="I580" i="1" a="1"/>
  <c r="I580" i="1" s="1"/>
  <c r="N579" i="1"/>
  <c r="N578" i="1"/>
  <c r="J578" i="1" a="1"/>
  <c r="J578" i="1" s="1"/>
  <c r="I578" i="1" a="1"/>
  <c r="I578" i="1" s="1"/>
  <c r="N577" i="1"/>
  <c r="N576" i="1"/>
  <c r="J576" i="1" a="1"/>
  <c r="J576" i="1" s="1"/>
  <c r="I576" i="1" a="1"/>
  <c r="I576" i="1" s="1"/>
  <c r="N575" i="1"/>
  <c r="J575" i="1" a="1"/>
  <c r="J575" i="1" s="1"/>
  <c r="I575" i="1" a="1"/>
  <c r="I575" i="1" s="1"/>
  <c r="N574" i="1"/>
  <c r="J574" i="1" a="1"/>
  <c r="J574" i="1" s="1"/>
  <c r="I574" i="1" a="1"/>
  <c r="I574" i="1" s="1"/>
  <c r="N573" i="1"/>
  <c r="J573" i="1" a="1"/>
  <c r="J573" i="1" s="1"/>
  <c r="I573" i="1" a="1"/>
  <c r="I573" i="1" s="1"/>
  <c r="J572" i="1" a="1"/>
  <c r="J572" i="1" s="1"/>
  <c r="I572" i="1" a="1"/>
  <c r="I572" i="1" s="1"/>
  <c r="N571" i="1"/>
  <c r="J571" i="1" a="1"/>
  <c r="J571" i="1" s="1"/>
  <c r="I571" i="1" a="1"/>
  <c r="I571" i="1" s="1"/>
  <c r="N570" i="1"/>
  <c r="J570" i="1" a="1"/>
  <c r="J570" i="1" s="1"/>
  <c r="I570" i="1" a="1"/>
  <c r="I570" i="1" s="1"/>
  <c r="N569" i="1"/>
  <c r="J569" i="1" a="1"/>
  <c r="J569" i="1" s="1"/>
  <c r="I569" i="1" a="1"/>
  <c r="I569" i="1" s="1"/>
  <c r="N568" i="1"/>
  <c r="J568" i="1" a="1"/>
  <c r="J568" i="1" s="1"/>
  <c r="N567" i="1"/>
  <c r="J567" i="1" a="1"/>
  <c r="J567" i="1" s="1"/>
  <c r="I567" i="1" a="1"/>
  <c r="I567" i="1" s="1"/>
  <c r="N566" i="1"/>
  <c r="J566" i="1" a="1"/>
  <c r="J566" i="1" s="1"/>
  <c r="I566" i="1" a="1"/>
  <c r="I566" i="1" s="1"/>
  <c r="N565" i="1"/>
  <c r="J565" i="1" a="1"/>
  <c r="J565" i="1" s="1"/>
  <c r="I565" i="1" a="1"/>
  <c r="I565" i="1" s="1"/>
  <c r="N564" i="1"/>
  <c r="J564" i="1" a="1"/>
  <c r="J564" i="1" s="1"/>
  <c r="I564" i="1" a="1"/>
  <c r="I564" i="1" s="1"/>
  <c r="N563" i="1"/>
  <c r="J563" i="1" a="1"/>
  <c r="J563" i="1" s="1"/>
  <c r="J562" i="1" a="1"/>
  <c r="J562" i="1" s="1"/>
  <c r="N561" i="1"/>
  <c r="J561" i="1" a="1"/>
  <c r="J561" i="1" s="1"/>
  <c r="I561" i="1" a="1"/>
  <c r="I561" i="1" s="1"/>
  <c r="N560" i="1"/>
  <c r="J560" i="1" a="1"/>
  <c r="J560" i="1" s="1"/>
  <c r="I560" i="1" a="1"/>
  <c r="I560" i="1" s="1"/>
  <c r="N559" i="1"/>
  <c r="J559" i="1" a="1"/>
  <c r="J559" i="1" s="1"/>
  <c r="I559" i="1" a="1"/>
  <c r="I559" i="1" s="1"/>
  <c r="N558" i="1"/>
  <c r="J558" i="1" a="1"/>
  <c r="J558" i="1" s="1"/>
  <c r="N557" i="1"/>
  <c r="J557" i="1" a="1"/>
  <c r="J557" i="1" s="1"/>
  <c r="I557" i="1" a="1"/>
  <c r="I557" i="1" s="1"/>
  <c r="N556" i="1"/>
  <c r="J556" i="1" a="1"/>
  <c r="J556" i="1" s="1"/>
  <c r="I556" i="1" a="1"/>
  <c r="I556" i="1" s="1"/>
  <c r="N555" i="1"/>
  <c r="J555" i="1" a="1"/>
  <c r="J555" i="1" s="1"/>
  <c r="N554" i="1"/>
  <c r="J554" i="1" a="1"/>
  <c r="J554" i="1" s="1"/>
  <c r="I554" i="1" a="1"/>
  <c r="I554" i="1" s="1"/>
  <c r="N553" i="1"/>
  <c r="J553" i="1" a="1"/>
  <c r="J553" i="1" s="1"/>
  <c r="I553" i="1" a="1"/>
  <c r="I553" i="1" s="1"/>
  <c r="N552" i="1"/>
  <c r="J552" i="1" a="1"/>
  <c r="J552" i="1" s="1"/>
  <c r="I552" i="1" a="1"/>
  <c r="I552" i="1" s="1"/>
  <c r="N551" i="1"/>
  <c r="J551" i="1" a="1"/>
  <c r="J551" i="1" s="1"/>
  <c r="N550" i="1"/>
  <c r="J550" i="1" a="1"/>
  <c r="J550" i="1" s="1"/>
  <c r="N549" i="1"/>
  <c r="J549" i="1" a="1"/>
  <c r="J549" i="1" s="1"/>
  <c r="I549" i="1" a="1"/>
  <c r="I549" i="1" s="1"/>
  <c r="N548" i="1"/>
  <c r="J548" i="1" a="1"/>
  <c r="J548" i="1" s="1"/>
  <c r="N547" i="1"/>
  <c r="J547" i="1" a="1"/>
  <c r="J547" i="1" s="1"/>
  <c r="I547" i="1" a="1"/>
  <c r="I547" i="1" s="1"/>
  <c r="N546" i="1"/>
  <c r="J546" i="1" a="1"/>
  <c r="J546" i="1" s="1"/>
  <c r="I546" i="1" a="1"/>
  <c r="I546" i="1" s="1"/>
  <c r="N545" i="1"/>
  <c r="J545" i="1" a="1"/>
  <c r="J545" i="1" s="1"/>
  <c r="I545" i="1" a="1"/>
  <c r="I545" i="1" s="1"/>
  <c r="N544" i="1"/>
  <c r="J544" i="1" a="1"/>
  <c r="J544" i="1" s="1"/>
  <c r="I544" i="1" a="1"/>
  <c r="I544" i="1" s="1"/>
  <c r="N543" i="1"/>
  <c r="J543" i="1" a="1"/>
  <c r="J543" i="1" s="1"/>
  <c r="N542" i="1"/>
  <c r="I542" i="1" a="1"/>
  <c r="I542" i="1" s="1"/>
  <c r="J541" i="1" a="1"/>
  <c r="J541" i="1" s="1"/>
  <c r="I541" i="1" a="1"/>
  <c r="I541" i="1" s="1"/>
  <c r="J540" i="1" a="1"/>
  <c r="J540" i="1" s="1"/>
  <c r="I540" i="1" a="1"/>
  <c r="I540" i="1" s="1"/>
  <c r="N539" i="1"/>
  <c r="J539" i="1" a="1"/>
  <c r="J539" i="1" s="1"/>
  <c r="I539" i="1" a="1"/>
  <c r="I539" i="1" s="1"/>
  <c r="J538" i="1" a="1"/>
  <c r="J538" i="1" s="1"/>
  <c r="J537" i="1" a="1"/>
  <c r="J537" i="1" s="1"/>
  <c r="I537" i="1" a="1"/>
  <c r="I537" i="1" s="1"/>
  <c r="N536" i="1"/>
  <c r="J536" i="1" a="1"/>
  <c r="J536" i="1" s="1"/>
  <c r="I536" i="1" a="1"/>
  <c r="I536" i="1" s="1"/>
  <c r="N535" i="1"/>
  <c r="J535" i="1" a="1"/>
  <c r="J535" i="1" s="1"/>
  <c r="I535" i="1" a="1"/>
  <c r="I535" i="1" s="1"/>
  <c r="N534" i="1"/>
  <c r="J534" i="1" a="1"/>
  <c r="J534" i="1" s="1"/>
  <c r="I534" i="1" a="1"/>
  <c r="I534" i="1" s="1"/>
  <c r="J533" i="1" a="1"/>
  <c r="J533" i="1" s="1"/>
  <c r="I533" i="1" a="1"/>
  <c r="I533" i="1" s="1"/>
  <c r="N532" i="1"/>
  <c r="J532" i="1" a="1"/>
  <c r="J532" i="1" s="1"/>
  <c r="I532" i="1" a="1"/>
  <c r="I532" i="1" s="1"/>
  <c r="N531" i="1"/>
  <c r="N530" i="1"/>
  <c r="N529" i="1"/>
  <c r="N528" i="1"/>
  <c r="N527" i="1"/>
  <c r="N526" i="1"/>
  <c r="N525" i="1"/>
  <c r="N521" i="1"/>
  <c r="N522" i="1"/>
  <c r="N523" i="1"/>
  <c r="N524" i="1"/>
  <c r="N520" i="1"/>
  <c r="N514" i="1"/>
  <c r="N515" i="1"/>
  <c r="N516" i="1"/>
  <c r="N517" i="1"/>
  <c r="N518" i="1"/>
  <c r="N513" i="1"/>
  <c r="N511" i="1"/>
  <c r="N512" i="1"/>
  <c r="N506" i="1"/>
  <c r="N507" i="1"/>
  <c r="N508" i="1"/>
  <c r="N509" i="1"/>
  <c r="N510" i="1"/>
  <c r="N505" i="1"/>
  <c r="J505" i="1" a="1"/>
  <c r="J505" i="1" s="1"/>
  <c r="I505" i="1" a="1"/>
  <c r="I505" i="1" s="1"/>
  <c r="N504" i="1"/>
  <c r="J504" i="1" a="1"/>
  <c r="J504" i="1" s="1"/>
  <c r="I504" i="1" a="1"/>
  <c r="I504" i="1" s="1"/>
  <c r="N503" i="1"/>
  <c r="J503" i="1" a="1"/>
  <c r="J503" i="1" s="1"/>
  <c r="I503" i="1" a="1"/>
  <c r="I503" i="1" s="1"/>
  <c r="N502" i="1"/>
  <c r="J502" i="1" a="1"/>
  <c r="J502" i="1" s="1"/>
  <c r="I502" i="1" a="1"/>
  <c r="I502" i="1" s="1"/>
  <c r="N501" i="1"/>
  <c r="J501" i="1" a="1"/>
  <c r="J501" i="1" s="1"/>
  <c r="I501" i="1" a="1"/>
  <c r="I501" i="1" s="1"/>
  <c r="N500" i="1"/>
  <c r="J500" i="1" a="1"/>
  <c r="J500" i="1" s="1"/>
  <c r="N499" i="1"/>
  <c r="J499" i="1" a="1"/>
  <c r="J499" i="1" s="1"/>
  <c r="I499" i="1" a="1"/>
  <c r="I499" i="1" s="1"/>
  <c r="N498" i="1"/>
  <c r="J498" i="1" a="1"/>
  <c r="J498" i="1" s="1"/>
  <c r="I498" i="1" a="1"/>
  <c r="I498" i="1" s="1"/>
  <c r="N497" i="1"/>
  <c r="J497" i="1" a="1"/>
  <c r="J497" i="1" s="1"/>
  <c r="I497" i="1" a="1"/>
  <c r="I497" i="1" s="1"/>
  <c r="N496" i="1"/>
  <c r="J496" i="1" a="1"/>
  <c r="J496" i="1" s="1"/>
  <c r="I496" i="1" a="1"/>
  <c r="I496" i="1" s="1"/>
  <c r="N495" i="1"/>
  <c r="J495" i="1" a="1"/>
  <c r="J495" i="1" s="1"/>
  <c r="N494" i="1"/>
  <c r="N493" i="1"/>
  <c r="J493" i="1" a="1"/>
  <c r="J493" i="1" s="1"/>
  <c r="I493" i="1" a="1"/>
  <c r="I493" i="1" s="1"/>
  <c r="N492" i="1"/>
  <c r="J492" i="1" a="1"/>
  <c r="J492" i="1" s="1"/>
  <c r="N491" i="1"/>
  <c r="J491" i="1" a="1"/>
  <c r="J491" i="1" s="1"/>
  <c r="I491" i="1" a="1"/>
  <c r="I491" i="1" s="1"/>
  <c r="N490" i="1"/>
  <c r="J490" i="1" a="1"/>
  <c r="J490" i="1" s="1"/>
  <c r="I490" i="1" a="1"/>
  <c r="I490" i="1" s="1"/>
  <c r="N489" i="1"/>
  <c r="J489" i="1" a="1"/>
  <c r="J489" i="1" s="1"/>
  <c r="I489" i="1" a="1"/>
  <c r="I489" i="1" s="1"/>
  <c r="N488" i="1"/>
  <c r="J488" i="1" a="1"/>
  <c r="J488" i="1" s="1"/>
  <c r="I488" i="1" a="1"/>
  <c r="I488" i="1" s="1"/>
  <c r="N487" i="1"/>
  <c r="J487" i="1" a="1"/>
  <c r="J487" i="1" s="1"/>
  <c r="I487" i="1" a="1"/>
  <c r="I487" i="1" s="1"/>
  <c r="N486" i="1"/>
  <c r="J486" i="1" a="1"/>
  <c r="J486" i="1" s="1"/>
  <c r="I486" i="1" a="1"/>
  <c r="I486" i="1" s="1"/>
  <c r="N485" i="1"/>
  <c r="J485" i="1" a="1"/>
  <c r="J485" i="1" s="1"/>
  <c r="I485" i="1" a="1"/>
  <c r="I485" i="1" s="1"/>
  <c r="N484" i="1"/>
  <c r="J484" i="1" a="1"/>
  <c r="J484" i="1" s="1"/>
  <c r="I484" i="1" a="1"/>
  <c r="I484" i="1" s="1"/>
  <c r="N483" i="1"/>
  <c r="J483" i="1" a="1"/>
  <c r="J483" i="1" s="1"/>
  <c r="I483" i="1" a="1"/>
  <c r="I483" i="1" s="1"/>
  <c r="N482" i="1"/>
  <c r="J482" i="1" a="1"/>
  <c r="J482" i="1" s="1"/>
  <c r="N481" i="1"/>
  <c r="J481" i="1" a="1"/>
  <c r="J481" i="1" s="1"/>
  <c r="I481" i="1" a="1"/>
  <c r="I481" i="1" s="1"/>
  <c r="N480" i="1"/>
  <c r="J480" i="1" a="1"/>
  <c r="J480" i="1" s="1"/>
  <c r="I480" i="1" a="1"/>
  <c r="I480" i="1" s="1"/>
  <c r="N479" i="1"/>
  <c r="J479" i="1" a="1"/>
  <c r="J479" i="1" s="1"/>
  <c r="I479" i="1" a="1"/>
  <c r="I479" i="1" s="1"/>
  <c r="N478" i="1"/>
  <c r="J478" i="1" a="1"/>
  <c r="J478" i="1" s="1"/>
  <c r="I478" i="1" a="1"/>
  <c r="I478" i="1" s="1"/>
  <c r="N477" i="1"/>
  <c r="J477" i="1" a="1"/>
  <c r="J477" i="1" s="1"/>
  <c r="I477" i="1" a="1"/>
  <c r="I477" i="1" s="1"/>
  <c r="N476" i="1"/>
  <c r="J476" i="1" a="1"/>
  <c r="J476" i="1" s="1"/>
  <c r="I476" i="1" a="1"/>
  <c r="I476" i="1" s="1"/>
  <c r="N475" i="1"/>
  <c r="J475" i="1" a="1"/>
  <c r="J475" i="1" s="1"/>
  <c r="I475" i="1" a="1"/>
  <c r="I475" i="1" s="1"/>
  <c r="N474" i="1"/>
  <c r="J474" i="1" a="1"/>
  <c r="J474" i="1" s="1"/>
  <c r="I474" i="1" a="1"/>
  <c r="I474" i="1" s="1"/>
  <c r="N473" i="1"/>
  <c r="J473" i="1" a="1"/>
  <c r="J473" i="1" s="1"/>
  <c r="I473" i="1" a="1"/>
  <c r="I473" i="1" s="1"/>
  <c r="J472" i="1" a="1"/>
  <c r="J472" i="1" s="1"/>
  <c r="I472" i="1" a="1"/>
  <c r="I472" i="1" s="1"/>
  <c r="N471" i="1"/>
  <c r="J471" i="1" a="1"/>
  <c r="J471" i="1" s="1"/>
  <c r="N470" i="1"/>
  <c r="J470" i="1" a="1"/>
  <c r="J470" i="1" s="1"/>
  <c r="N469" i="1"/>
  <c r="J469" i="1" a="1"/>
  <c r="J469" i="1" s="1"/>
  <c r="N468" i="1"/>
  <c r="J468" i="1" a="1"/>
  <c r="J468" i="1" s="1"/>
  <c r="I468" i="1" a="1"/>
  <c r="I468" i="1" s="1"/>
  <c r="N467" i="1"/>
  <c r="J467" i="1" a="1"/>
  <c r="J467" i="1" s="1"/>
  <c r="I467" i="1" a="1"/>
  <c r="I467" i="1" s="1"/>
  <c r="N466" i="1"/>
  <c r="I466" i="1" a="1"/>
  <c r="I466" i="1" s="1"/>
  <c r="J465" i="1" a="1"/>
  <c r="J465" i="1" s="1"/>
  <c r="I465" i="1" a="1"/>
  <c r="I465" i="1" s="1"/>
  <c r="N464" i="1"/>
  <c r="J464" i="1" a="1"/>
  <c r="J464" i="1" s="1"/>
  <c r="N463" i="1"/>
  <c r="J463" i="1" a="1"/>
  <c r="J463" i="1" s="1"/>
  <c r="I463" i="1" a="1"/>
  <c r="I463" i="1" s="1"/>
  <c r="N462" i="1"/>
  <c r="I462" i="1" a="1"/>
  <c r="I462" i="1" s="1"/>
  <c r="N461" i="1"/>
  <c r="J461" i="1" a="1"/>
  <c r="J461" i="1" s="1"/>
  <c r="I461" i="1" a="1"/>
  <c r="I461" i="1" s="1"/>
  <c r="N460" i="1"/>
  <c r="J460" i="1" a="1"/>
  <c r="J460" i="1" s="1"/>
  <c r="I460" i="1" a="1"/>
  <c r="I460" i="1" s="1"/>
  <c r="N459" i="1"/>
  <c r="J459" i="1" a="1"/>
  <c r="J459" i="1" s="1"/>
  <c r="I459" i="1" a="1"/>
  <c r="I459" i="1" s="1"/>
  <c r="N458" i="1"/>
  <c r="J458" i="1" a="1"/>
  <c r="J458" i="1" s="1"/>
  <c r="I458" i="1" a="1"/>
  <c r="I458" i="1" s="1"/>
  <c r="N457" i="1"/>
  <c r="J457" i="1" a="1"/>
  <c r="J457" i="1" s="1"/>
  <c r="I457" i="1" a="1"/>
  <c r="I457" i="1" s="1"/>
  <c r="N456" i="1"/>
  <c r="J456" i="1" a="1"/>
  <c r="J456" i="1" s="1"/>
  <c r="I456" i="1" a="1"/>
  <c r="I456" i="1" s="1"/>
  <c r="N455" i="1"/>
  <c r="J455" i="1" a="1"/>
  <c r="J455" i="1" s="1"/>
  <c r="I455" i="1" a="1"/>
  <c r="I455" i="1" s="1"/>
  <c r="N454" i="1"/>
  <c r="J454" i="1" a="1"/>
  <c r="J454" i="1" s="1"/>
  <c r="I454" i="1" a="1"/>
  <c r="I454" i="1" s="1"/>
  <c r="N453" i="1"/>
  <c r="J453" i="1" a="1"/>
  <c r="J453" i="1" s="1"/>
  <c r="I453" i="1" a="1"/>
  <c r="I453" i="1" s="1"/>
  <c r="N452" i="1"/>
  <c r="J452" i="1" a="1"/>
  <c r="J452" i="1" s="1"/>
  <c r="I452" i="1" a="1"/>
  <c r="I452" i="1" s="1"/>
  <c r="N451" i="1"/>
  <c r="J451" i="1" a="1"/>
  <c r="J451" i="1" s="1"/>
  <c r="I451" i="1" a="1"/>
  <c r="I451" i="1" s="1"/>
  <c r="N450" i="1"/>
  <c r="J450" i="1" a="1"/>
  <c r="J450" i="1" s="1"/>
  <c r="I450" i="1" a="1"/>
  <c r="I450" i="1" s="1"/>
  <c r="N449" i="1"/>
  <c r="J449" i="1" a="1"/>
  <c r="J449" i="1" s="1"/>
  <c r="I449" i="1" a="1"/>
  <c r="I449" i="1" s="1"/>
  <c r="J448" i="1" a="1"/>
  <c r="J448" i="1" s="1"/>
  <c r="I448" i="1" a="1"/>
  <c r="I448" i="1" s="1"/>
  <c r="N447" i="1"/>
  <c r="J447" i="1" a="1"/>
  <c r="J447" i="1" s="1"/>
  <c r="I447" i="1" a="1"/>
  <c r="I447" i="1" s="1"/>
  <c r="N446" i="1"/>
  <c r="J446" i="1" a="1"/>
  <c r="J446" i="1" s="1"/>
  <c r="N445" i="1"/>
  <c r="J445" i="1" a="1"/>
  <c r="J445" i="1" s="1"/>
  <c r="I445" i="1" a="1"/>
  <c r="I445" i="1" s="1"/>
  <c r="N444" i="1"/>
  <c r="J444" i="1" a="1"/>
  <c r="J444" i="1" s="1"/>
  <c r="I444" i="1" a="1"/>
  <c r="I444" i="1" s="1"/>
  <c r="N443" i="1"/>
  <c r="J443" i="1" a="1"/>
  <c r="J443" i="1" s="1"/>
  <c r="I443" i="1" a="1"/>
  <c r="I443" i="1" s="1"/>
  <c r="N442" i="1"/>
  <c r="J442" i="1" a="1"/>
  <c r="J442" i="1" s="1"/>
  <c r="I442" i="1" a="1"/>
  <c r="I442" i="1" s="1"/>
  <c r="N441" i="1"/>
  <c r="J441" i="1" a="1"/>
  <c r="J441" i="1" s="1"/>
  <c r="I441" i="1" a="1"/>
  <c r="I441" i="1" s="1"/>
  <c r="N440" i="1"/>
  <c r="J440" i="1" a="1"/>
  <c r="J440" i="1" s="1"/>
  <c r="I440" i="1" a="1"/>
  <c r="I440" i="1" s="1"/>
  <c r="N439" i="1"/>
  <c r="J439" i="1" a="1"/>
  <c r="J439" i="1" s="1"/>
  <c r="I439" i="1" a="1"/>
  <c r="I439" i="1" s="1"/>
  <c r="J438" i="1" a="1"/>
  <c r="J438" i="1" s="1"/>
  <c r="I438" i="1" a="1"/>
  <c r="I438" i="1" s="1"/>
  <c r="N437" i="1"/>
  <c r="J437" i="1" a="1"/>
  <c r="J437" i="1" s="1"/>
  <c r="I437" i="1" a="1"/>
  <c r="I437" i="1" s="1"/>
  <c r="N436" i="1"/>
  <c r="J436" i="1" a="1"/>
  <c r="J436" i="1" s="1"/>
  <c r="J435" i="1" a="1"/>
  <c r="J435" i="1" s="1"/>
  <c r="N434" i="1"/>
  <c r="J434" i="1" a="1"/>
  <c r="J434" i="1" s="1"/>
  <c r="I434" i="1" a="1"/>
  <c r="I434" i="1" s="1"/>
  <c r="J433" i="1" a="1"/>
  <c r="J433" i="1" s="1"/>
  <c r="I433" i="1" a="1"/>
  <c r="I433" i="1" s="1"/>
  <c r="J432" i="1" a="1"/>
  <c r="J432" i="1" s="1"/>
  <c r="I432" i="1" a="1"/>
  <c r="I432" i="1" s="1"/>
  <c r="N431" i="1"/>
  <c r="J431" i="1" a="1"/>
  <c r="J431"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<sst xmlns="http://schemas.openxmlformats.org/spreadsheetml/2006/main" count="5449" uniqueCount="1833">
  <si>
    <t>WorkOrder</t>
  </si>
  <si>
    <t>Dispatcher</t>
  </si>
  <si>
    <t>Received Date</t>
  </si>
  <si>
    <t>ETA</t>
  </si>
  <si>
    <t>Store</t>
  </si>
  <si>
    <t>Trade</t>
  </si>
  <si>
    <t>Subtrade</t>
  </si>
  <si>
    <t xml:space="preserve">Address </t>
  </si>
  <si>
    <t>City</t>
  </si>
  <si>
    <t>State</t>
  </si>
  <si>
    <t xml:space="preserve">NTE </t>
  </si>
  <si>
    <t xml:space="preserve">NTE Approved </t>
  </si>
  <si>
    <t>Cost</t>
  </si>
  <si>
    <t>Profit %</t>
  </si>
  <si>
    <t xml:space="preserve">Description </t>
  </si>
  <si>
    <t>Status</t>
  </si>
  <si>
    <t>Quote Sent on ?</t>
  </si>
  <si>
    <t>Admin Notes</t>
  </si>
  <si>
    <t xml:space="preserve">TL Notes </t>
  </si>
  <si>
    <t xml:space="preserve">Invoice Date </t>
  </si>
  <si>
    <t>Mitch Carr</t>
  </si>
  <si>
    <t>O'reilly</t>
  </si>
  <si>
    <t>Electrical</t>
  </si>
  <si>
    <t>Exhaust Fan</t>
  </si>
  <si>
    <t>005607 (58 - 554) 005607 - STORE - SPRINGFIELD - MA - SD2 - 1365 LIBERTY ST - Active 1365 LIBERTY ST SPRINGFIELD, MA 01104-1170, US</t>
  </si>
  <si>
    <t>LIBERTY ST SPRINGFIELD</t>
  </si>
  <si>
    <t>MA</t>
  </si>
  <si>
    <t>RESTROOM / Electrical / Exhaust Fan / Not Working / Exhaust fan will not turn on. See store manager for details.</t>
  </si>
  <si>
    <t>Job Done</t>
  </si>
  <si>
    <t xml:space="preserve">Kyle Morgan </t>
  </si>
  <si>
    <t>Door Vendor</t>
  </si>
  <si>
    <t>Overhead Door</t>
  </si>
  <si>
    <t>005089 (58 - 524) 005089 - RELOCATION - MANCHESTER - CT - MCR - 431 BROAD ST - Active 431 BROAD ST MANCHESTER, CT 06040-4035, US</t>
  </si>
  <si>
    <t>Broad ST Manchester</t>
  </si>
  <si>
    <t>CT</t>
  </si>
  <si>
    <t>BACKROOM / Door(s) / Freight Door - Overhead / Lock failure / Is the lock causing an issue with opening or closing the store?: No / The lock on the bay door is warped.</t>
  </si>
  <si>
    <t>Total Work Orders</t>
  </si>
  <si>
    <t xml:space="preserve">James Baker </t>
  </si>
  <si>
    <t>Handyman</t>
  </si>
  <si>
    <t>Paint</t>
  </si>
  <si>
    <t>003303 (42 - 379) 003303 - STORE - OREGON - OH - OR2 - 2350 WOODVILLE ROAD - Active 2350 WOODVILLE ROAD OREGON, OH 43616-3834, US</t>
  </si>
  <si>
    <t>Woodville Road</t>
  </si>
  <si>
    <t>OH</t>
  </si>
  <si>
    <t>BACKROOM / Door(s) / Freight Door - Non-Overhead / Damaged / What type of damage occurred?: Standard wear and tear / The walk-thru freight door was just replaced. Please assess and paint the door on both sides to match the store's exterior</t>
  </si>
  <si>
    <t>Justin Walter</t>
  </si>
  <si>
    <t>Locksmith</t>
  </si>
  <si>
    <t>Locks</t>
  </si>
  <si>
    <t>003744 (30 - 206) 003744 - STORE - RENTON - WA - RN5 - 14233 SE PETROVITSKY ROAD - Active 14233 SE PETROVITSKY ROAD RENTON, WA 98058-8983, US</t>
  </si>
  <si>
    <t>SE PETROVITSKY ROAD RENTON</t>
  </si>
  <si>
    <t>WA</t>
  </si>
  <si>
    <t>BACKROOM / Door(s) / Freight Door - Non-Overhead / Lock failure / Is the lock causing an issue with opening or closing the store?: Yes / the lock for the back door is very hard to operate making it hard to open in the morning and closing at night, store can secure with effort but needs addressed before issue escalates. Please assess the door and all locking mechanisms and repair as needed to restore proper door &amp; lock operation, as well as store security.</t>
  </si>
  <si>
    <t>Billed For incurred</t>
  </si>
  <si>
    <t>Billed For Incurred</t>
  </si>
  <si>
    <t>LED driver</t>
  </si>
  <si>
    <t>005213 (27 - 465) 005213 - STORE - FOREST - VA - FRT - 14667 FOREST RD - Active 14667 FOREST RD FOREST, VA 24551, US</t>
  </si>
  <si>
    <t xml:space="preserve"> FOREST RD FOREST</t>
  </si>
  <si>
    <t>VA</t>
  </si>
  <si>
    <t xml:space="preserve">SHOWROOM / Lighting / Interior Lighting / Partial lighting outage / Store has (1) 8ft LED Fixture out. A replacement driver is onsite ready to be installed. </t>
  </si>
  <si>
    <t>Cancelled No Incurred</t>
  </si>
  <si>
    <t>Plumber</t>
  </si>
  <si>
    <t>Leaking</t>
  </si>
  <si>
    <t>001014 (12 - 429) 001014 - STORE - HERMITAGE - TN - HTG - 3960 LEBANON PIKE - Active 3960 LEBANON PIKE HERMITAGE, TN 37076-2012, US</t>
  </si>
  <si>
    <t>Hermitage</t>
  </si>
  <si>
    <t>TN</t>
  </si>
  <si>
    <t>RESTROOM / Plumbing / Toilet/Urinal / Leaking / Is this a safety risk to Team Members and/or customers?: No / Toilet basin has started to leak.</t>
  </si>
  <si>
    <t>004928 (21 - 369) 004928 - STORE - MOUNT ORAB - OH - MOB - 403 N HIGH STREET - Active 403 N HIGH STREET MOUNT ORAB, OH 45154-9034, US</t>
  </si>
  <si>
    <t>HIGH STREET MOUNT</t>
  </si>
  <si>
    <t>SHOWROOM / Lighting / Interior Lighting / Partial lighting outage / There is an 8' section of lights that are out and a new LED driver on site to repair the issue.</t>
  </si>
  <si>
    <t>Reassigned</t>
  </si>
  <si>
    <t>Lights</t>
  </si>
  <si>
    <t>006219 (70 - 642) 006219 - STORE - CLARKSTON - WA - CKN - 312 5TH ST - Active 312 5TH ST CLARKSTON, WA 99403, US</t>
  </si>
  <si>
    <t>ST CLARKSTON</t>
  </si>
  <si>
    <t>BACKROOM / Lighting / Interior Lighting / Partial lighting outage / The first row of lights behind the front counter in the back aisles have two sections that have gone out. One located above our WIX filters and another above our Precision chassis parts.// Store reports 2 8ft section(s) of LED lights are out in the backroom. I have 2 LED driver(s) that is at the store that needs changed out. See MOD for material. Please send Tech to diagnose and repair lighting that is not working back to normal illumination.</t>
  </si>
  <si>
    <t>Ryan Cole</t>
  </si>
  <si>
    <t>CCFI</t>
  </si>
  <si>
    <t>Cash Drawer</t>
  </si>
  <si>
    <t>CCFI - Loc # 1113 2011 Highway 72 Corinth, MS 38834-6710</t>
  </si>
  <si>
    <t>Corinth</t>
  </si>
  <si>
    <t>MS</t>
  </si>
  <si>
    <t>SALES AREA / CASH DRAWER / LOCKABLE CASH DRAWER / ANY ISSUE WITH CASH DRAWERS /
We have a new under the desk cash drawer we need put in</t>
  </si>
  <si>
    <t>Maxwell Cruz</t>
  </si>
  <si>
    <t>Five Below</t>
  </si>
  <si>
    <t>Doors</t>
  </si>
  <si>
    <t>FIVE BELOW - 1251 N Bridge St Chillicothe, OH 45601,</t>
  </si>
  <si>
    <t>Chillicothe</t>
  </si>
  <si>
    <t>ENTRANCE / Doors / Doors / Door Stop Needs Repair/ Replacement / Our door stop broke off we have a replacement</t>
  </si>
  <si>
    <t>Door Closer</t>
  </si>
  <si>
    <t>005391 (59 - 104) 005391 - STORE - CRESTWOOD - KY - CRD - 6448 W HIGHWAY 146 - Active 6448 W HIGHWAY 146 CRESTWOOD, KY 40014-9575, US</t>
  </si>
  <si>
    <t>CRESTWOOD</t>
  </si>
  <si>
    <t>KY</t>
  </si>
  <si>
    <t>EXTERIOR BUILDING / Door(s) / Front Door / Door closer issue / What type of issue?: Damaged / door was swinging super fast and super heavy. Closer is broken.</t>
  </si>
  <si>
    <t>Jerry Collins</t>
  </si>
  <si>
    <t>Lighting Repair</t>
  </si>
  <si>
    <t>005687 (57 - 501), 005687 - STORE - Bethel - VT - BEL - 167 Main St. - Active, 167 SOUTH MAIN STREET, Bethel, VT 05032-9631, US</t>
  </si>
  <si>
    <t>Bethel</t>
  </si>
  <si>
    <t>VT</t>
  </si>
  <si>
    <t>Store needs two lights in rotor room replaced with permanent lighting fixtures.</t>
  </si>
  <si>
    <t>Parcial Outage</t>
  </si>
  <si>
    <t>006953 (45 - 367) 006953 - STORE - JACKSONVILLE - FL - J15 - 14185 BEACH BLVD - Active 14185 BEACH BLVD Ste 1 JACKSONVILLE, FL 32250, US</t>
  </si>
  <si>
    <t>BEACH BLVD Ste 1 JACKSONVILLE</t>
  </si>
  <si>
    <t>FL</t>
  </si>
  <si>
    <t>BACKROOM / Electrical / Electrical / Partial outage / store doesn't have power throughout the store.</t>
  </si>
  <si>
    <t>003457 (47 - 480) 003457 - STORE - CAMERON PARK - CA - CMP - 3398 COACH LANE - Active 3398 COACH LANE CAMERON PARK, CA 95682-8454, US</t>
  </si>
  <si>
    <t>COACH LANE CAMERON PARK</t>
  </si>
  <si>
    <t>CA</t>
  </si>
  <si>
    <t>BACKROOM / Electrical / Electrical / Partial outage / diagnose the communication issues with the Surveyor EMS.</t>
  </si>
  <si>
    <t>003159 (51 - 204) 003159 - RELOCATION - ARLINGTON - WA - AR1 - 7815 204TH ST NE - Active 7815 204TH ST NE ARLINGTON, WA 98223-8997, US</t>
  </si>
  <si>
    <t>ST NE ARLINGTON</t>
  </si>
  <si>
    <t>SHOWROOM / Lighting / Interior Lighting / Partial lighting outage / Our light timer is not functioning. Lights are not coming on at our 730 opening. I've had to set the timer to turn on all of the lights and after it has timed out they have stayed on throughout the day.</t>
  </si>
  <si>
    <t>Fence</t>
  </si>
  <si>
    <t>003692 (30 - 359) 003692 - RELOCATION - SEATAC - WA - SEA - 21105 INTERNATIONAL BLVD - Active 21105 INTERNATIONAL BLVD SEATAC, WA 98198-6070, US</t>
  </si>
  <si>
    <t>INTERNATIONAL BLVD SEATAC</t>
  </si>
  <si>
    <t>PARKING LOT / Fence / Trash Enclosure / Repair needed / What type of damage occurred?: Vandalism / Dumpster fire happened</t>
  </si>
  <si>
    <t>005792 (58 - 554) 005792 - STORE - PITTSFIELD - MA - PF1 - 481 DALTON AVE - Active 481 DALTON AVE PITTSFIELD, MA 01201-2908, US</t>
  </si>
  <si>
    <t>DALTON AVE PITTSFIELD</t>
  </si>
  <si>
    <t>RESTROOM / Plumbing / Sewage Piping / Clogged/Leaking / septic is back flowing into urinal and bathroom sinks. this morning it has also come up from the floor around the woman's toilet.</t>
  </si>
  <si>
    <t>Flushing issue</t>
  </si>
  <si>
    <t>002509 - RELOCATION - FEDERAL WAY - WA - FW1 - 34720 PACIFIC HWY S - Active 34720 PACIFIC HWY S FEDERAL WAY, WA 98003-6821, US</t>
  </si>
  <si>
    <t>PACIFIC HWY S FEDERAL WAY</t>
  </si>
  <si>
    <t>RESTROOM / Plumbing / Toilet/Urinal / Damaged / Toilet does not flush properly. It has to be flushed 2 or more times to get a proper flush.</t>
  </si>
  <si>
    <t>Sink</t>
  </si>
  <si>
    <t>001013 (60 - 87) 001013 - STORE - PLAINVIEW - TX - PVW - 2901 OLTON ROAD - Active 2901 OLTON ROAD PLAINVIEW, TX 79072-6709, US</t>
  </si>
  <si>
    <t>OLTON ROAD PLAINVIEW</t>
  </si>
  <si>
    <t>TX</t>
  </si>
  <si>
    <t>RESTROOM / Plumbing / Sink / Sink is damaged / sink is not draining and falling off the wall / diagnose and make repairs to re-secure the sink and clear the sink drain to allow proper flowing operation.</t>
  </si>
  <si>
    <t>Daniel Frost</t>
  </si>
  <si>
    <t>Door repair</t>
  </si>
  <si>
    <t>007019 (13 - 95) 007019 - STORE - ROGERSVILLE - TN - RGL - 910 E MAIN ST - Active 910 E MAIN ST ROGERSVILLE, 37857, US</t>
  </si>
  <si>
    <t xml:space="preserve"> ROGERSVILLE</t>
  </si>
  <si>
    <t>EXTERIOR BUILDING / Door(s) / Front Door / Door closer issue / What type of issue?: Needs Adjustment / Did this resolve the issue?: No / Store reports huge gaps on front door allowing air to flow through.</t>
  </si>
  <si>
    <t>006881 (11 - 564) 006881 - STORE - TROY - AL - TR2 - 705 N THREE NOTCH ST - Active 705 N THREE NOTCH ST TROY, AL 36081, US</t>
  </si>
  <si>
    <t>THREE NOTCH ST TROY</t>
  </si>
  <si>
    <t>AL</t>
  </si>
  <si>
    <t>EXTERIOR BUILDING / Plumbing / Water Faucet/Hydrant/Spigot / Leaking / Is this a safety risk to Team Members and/or customers?: Yes / sprinkler leaking.</t>
  </si>
  <si>
    <t>Uniral</t>
  </si>
  <si>
    <t>006480 (12 - 137) 006480 - STORE - COLUMBIA - TN - CA3 - 6010 TROTWOOD AVE - Active 6010 TROTWOOD AVE COLUMBIA, TN 38401, US</t>
  </si>
  <si>
    <t>TROTWOOD AVE COLUMBIA</t>
  </si>
  <si>
    <t>RESTROOM / Plumbing / Toilet/Urinal / Clogged - Singular / Urinal is clogged. We have used clog remover but it has not worked. We have also plunged.</t>
  </si>
  <si>
    <t>Water Line</t>
  </si>
  <si>
    <t>000953 (54 - 483) 000953 - RELOCATION - SAVANNAH - TN - SVA - 1445 WAYNE RD - Active 1445 WAYNE RD SAVANNAH, TN 38372, US</t>
  </si>
  <si>
    <t>SAVANNAH</t>
  </si>
  <si>
    <t>RESTROOM / Plumbing / Water Lines / Frozen / store reports that the outside water line has busted and the store has no water - City came and shut off water to the store do they have no water to the building until repaired.</t>
  </si>
  <si>
    <t>002781 (44 - 427) 002781 - STORE - KINGMAN - AZ - KN1 - 3399 STOCKTON HILL ROAD - Active 3399 STOCKTON HILL ROAD KINGMAN, AZ 86409-3676, US</t>
  </si>
  <si>
    <t>KINGMAN</t>
  </si>
  <si>
    <t>AZ</t>
  </si>
  <si>
    <t>RESTROOM / Plumbing / Toilet/Urinal / Leaking / Is this a safety risk to Team Members and/or customers?: No / toilet is leaking underneath the toilet (under the vinyl flooring), its also leaking out of water valve going into the wall I currently have an out of order sign on the door along with the door being locked so no one enters the mens restroom.</t>
  </si>
  <si>
    <t>Repair</t>
  </si>
  <si>
    <t>005446 (71 - 530) 005446 - STORE - DELRAY BEACH - FL - DR2 - 125 SOUTH CONGRESS AVENUE - Active 125 SOUTH CONGRESS AVENUE DELRAY BEACH, FL 33445-4615, US</t>
  </si>
  <si>
    <t>DELRAY BEACH</t>
  </si>
  <si>
    <t>BACKROOM / Wall(s) / Wall / Water coming in through the wall /EXTERIOR BUILDING / Glass &amp; Window / Window - Multiple / Broken glass . There is some product shelving that needs moved to allow access to the windows on south side of building. Please re-build the shelving - staff will place product back .</t>
  </si>
  <si>
    <t>Clogged toilet</t>
  </si>
  <si>
    <t>003652 (47 - 288) 003652 - STORE - LINDA - CA - LND - 5983 LINDHURST AVENUE - Active 5983 LINDHURST AVENUE LINDA, CA 95901-6100, US</t>
  </si>
  <si>
    <t>LINDA</t>
  </si>
  <si>
    <t>RESTROOM / Plumbing / Toilet/Urinal / Clogged - Entire Bathroom / Restroom toilets are clogged and wont drain. We have been plunging for a couple hours. Drain under back room wash sink is clogged and was overflowing.</t>
  </si>
  <si>
    <t>PO-90579</t>
  </si>
  <si>
    <t>Alex Wilson</t>
  </si>
  <si>
    <t>US BANK</t>
  </si>
  <si>
    <t>Window</t>
  </si>
  <si>
    <t>US Bank- Great Falls, MT 900 3rd St NW Great Falls</t>
  </si>
  <si>
    <t>GREAT FALLS</t>
  </si>
  <si>
    <t>MT</t>
  </si>
  <si>
    <t xml:space="preserve">Cracked Or Broken
</t>
  </si>
  <si>
    <t xml:space="preserve">Canceled No Incurred </t>
  </si>
  <si>
    <t>David Smith</t>
  </si>
  <si>
    <t>Water Heater</t>
  </si>
  <si>
    <t>FIVE BELOW - So. Twn Ctr 8250 Kingsridge Rd. Dayton, OH 45459, US</t>
  </si>
  <si>
    <t>DAYTON</t>
  </si>
  <si>
    <t xml:space="preserve">BREAKROOM / JANITORIAL CLOSET / Plumbing / Water Heater / No Hot Water / Can only mop with cold water.
</t>
  </si>
  <si>
    <t>Water Dountains</t>
  </si>
  <si>
    <t>FIVE BELOW - So. Twn Ctr 8250 Kingsridge Rd.</t>
  </si>
  <si>
    <t>Kingsridge</t>
  </si>
  <si>
    <t>REAR HALLWAY / Plumbing / Drinking Fountain / Clogged - Requesting Service / Appears a bunch of food was put down the drain of the water fountains</t>
  </si>
  <si>
    <t>006845 (18 - 578) 006845 - STORE - SNEAD - AL - SND - 43065 STATE HIGHWAY 75 - Active 43065 STATE HIGHWAY 75 SNEAD, AL 35952, US</t>
  </si>
  <si>
    <t>SNEAD</t>
  </si>
  <si>
    <t xml:space="preserve">SHOWROOM / Door(s) / Front Door / Lock failure / Is the lock causing an issue with opening or closing the store?: No / door will not unlock from the inside. Please repair the lock and test Function. </t>
  </si>
  <si>
    <t>006231 (51 - 646) 006231 - STORE - QUINCY - WA - QUW - 124 F ST SE - Active 124 F ST SE QUINCY, WA 988</t>
  </si>
  <si>
    <t>QUINCY</t>
  </si>
  <si>
    <t>BACKROOM / Lighting / Interior Lighting / Partial lighting outage / Have a section of the led lighting in the back room the shuts off completely or flickers or stays on but reverts to flicker. one row behind the counters.// Store reports 1 8ft section(s) of LED lights are out in the backroom. I have 1 LED driver(s) that is at the store that needs changed out. See MOD for material. Please send Tech to diagnose and repair lighting that is not working back to normal illumination.</t>
  </si>
  <si>
    <t>003878 (27 - 454) 003878 - STORE - PETERSBURG - VA - PG1 - 25 WAGNER RD - Active 25 WAGNER RD PETERSBURG, VA 23805-9312, US</t>
  </si>
  <si>
    <t>PETERSBURG</t>
  </si>
  <si>
    <t>RESTROOM / Plumbing / Toilet/Urinal / Clogged - Entire Bathroom / The toilet is not flushing, tried the plunger to see if something was lodged in there. Still will not flush.</t>
  </si>
  <si>
    <t>Lights repair</t>
  </si>
  <si>
    <t>005666 (57 - 501) 005666 - STORE - BARRE - VT - BA2 - 45 SUMMER STREET - Active 45 SUMMER STREET BARRE, VT 05641-3746, US</t>
  </si>
  <si>
    <t>BARRE</t>
  </si>
  <si>
    <t>Store reports that they noticed one of their florescent lights smoking and would like to get it checked out, please assess and restore to proper function.</t>
  </si>
  <si>
    <t>Glass Vendor</t>
  </si>
  <si>
    <t>Glass</t>
  </si>
  <si>
    <t>005960 (42 - 379) 005960 - STORE - WELLINGTON - OH - WLT - 712 N MAIN ST - Active 712 N MAIN ST WELLINGTON, OH 44090-1039, US</t>
  </si>
  <si>
    <t>WELLINGTON</t>
  </si>
  <si>
    <t>SHOWROOM / Glass &amp; Window / Front Door / Broken glass  / We have very high winds. the glass has become separated from the trim and it is snowing inside. Seal has been temp. repaired to keep snow out. Please assess and repair as needed to restore proper window seating and seals against weather intrusion.</t>
  </si>
  <si>
    <t>002017 (72 - 190) 002017 - STORE - MIAMISBURG - OH - MMO - 121 SOUTH HEINCKE ROAD - Active 121 SOUTH HEINCKE ROAD MIAMISBURG, OH 45342-3556, US</t>
  </si>
  <si>
    <t>MIAMISBURG</t>
  </si>
  <si>
    <t>RESTROOM / Plumbing / Sewage Piping / Clogged/Leaking / Store reports that their second bathroom is clogged.</t>
  </si>
  <si>
    <t>006871 (57 - 664) 006871 - STORE - ROCHESTER - NY - RH2 - 2918 DEWEY AVE - Active 2918 DEWEY AVE ROCHESTER, NY 14616, US</t>
  </si>
  <si>
    <t>ROCHESTER</t>
  </si>
  <si>
    <t>NY</t>
  </si>
  <si>
    <t>EXTERIOR BUILDING / Door(s) / Front Door / Cannot open or close door / Was this issue caused due to damage to the building?: No / Due to the high winds the door was blown open, damaging both the wind chain and the door closer. This is a safety issue as the wind blows the door into customers and the building itself. Please assess the door closer and wind chain, repair/replace both as needed to restore door operation and safety.</t>
  </si>
  <si>
    <t>003661 (47 - 230) 003661 - STORE - RENO - NV - RN7 - 110 LEMMON DRIVE - Active 110 LEMMON DRIVE RENO, NV 89506-8799, US</t>
  </si>
  <si>
    <t>LEMMON DRIVE RENO</t>
  </si>
  <si>
    <t>NV</t>
  </si>
  <si>
    <t>BACKROOM / Electrical / Electrical / Partial outage / Inspect the LCP panel . There is a lighting issue</t>
  </si>
  <si>
    <t>006784 (57 - 681) 006784 - STORE - LANCASTER - NY - LR1 - 5057 TRANSIT RD - Active 5057 TRANSIT RD LANCASTER, NY 14043, US</t>
  </si>
  <si>
    <t>LANCASTER</t>
  </si>
  <si>
    <t xml:space="preserve">EXTERIOR BUILDING / Door(s) / Front Door / Lock failure / Is the lock causing an issue with opening or closing the store?: Yes / Door locking mechanism does not work and is unaligned from door hinge because of high winds. Please assess and repair as needed to restore proper door alignment and proper operation of locking mechanisms. Please also add and heavy duty wind chain to this door. </t>
  </si>
  <si>
    <t>004563 (29 - 647) 004563 - STORE - CEDAR LAKE - IN - CLK - 10205 W 133RD ST - Active 10205 W 133RD ST CEDAR LAKE, IN 46303-8518, US</t>
  </si>
  <si>
    <t>CEDAR LAKE</t>
  </si>
  <si>
    <t>IN</t>
  </si>
  <si>
    <t>BACKROOM / Plumbing / Water Lines / Frozen / Store reports they have a leak in the wall by the back door. Possible frozen pipe.</t>
  </si>
  <si>
    <t>005024 (74 - 314 005024 - STORE - HOBART - IN - HB1 - 8250 E RIDGE ROAD - Active 8250 E RIDGE ROAD HOBART, IN 46342-2506, US</t>
  </si>
  <si>
    <t>HOBART</t>
  </si>
  <si>
    <t>RESTROOM / Plumbing / Toilet/Urinal / Clogged - Entire Bathroom / Both bathroom toilets appear to be clogged and will not flush.</t>
  </si>
  <si>
    <t>006814 (57 - 675) 006814 - STORE - NIAGARA FALLS - NY - NF1 - 1717 PINE AVE - Active 1717 PINE AVE NIAGARA FALLS, NY 14301, US</t>
  </si>
  <si>
    <t>NIAGARA FALLS</t>
  </si>
  <si>
    <t>EXTERIOR BUILDING / Lighting / Flood/Spot Light/Wall Pack / Damaged / What type of damage occurred?: Storm / Light above the front entrance is hanging by the wiring. We are experiencing a violent winter storm. As soon as weather permits, please assess and repair as needed to restore proper light mounting and operation</t>
  </si>
  <si>
    <t>005168 (69 - 77) 005168 - STORE - CORNELIA - GA - CRA - 354 HISTORIC 441 HWY - Active 354 HISTORIC 441 HWY CORNELIA, GA 30531-5721, US</t>
  </si>
  <si>
    <t>CORNELIA</t>
  </si>
  <si>
    <t>GA</t>
  </si>
  <si>
    <t>BACKROOM / Lighting / Interior Lighting / Partial lighting outage / two lights out in the backroom Parts</t>
  </si>
  <si>
    <t>Plainview</t>
  </si>
  <si>
    <t>RESTROOM / Plumbing / Toilet/Urinal / Leaking / Is this a safety risk to Team Members and/or customers?: Yes / restrooms are leaking at the base and both Mens and womens are running.</t>
  </si>
  <si>
    <t>Roof Drain</t>
  </si>
  <si>
    <t>002629 (33 - 390) 002629 - STORE - SAN JOSE - CA - SJ6 - 1810 ALUM ROCK AVENUE - Active 1810 ALUM ROCK AVENUE SAN JOSE, CA 95116-1370, US</t>
  </si>
  <si>
    <t>SAN JOSE</t>
  </si>
  <si>
    <t xml:space="preserve">ROOF / Plumbing / Interior Roof Drain / Clogged roof drain / drain must be plugged, leaked on side wall and created a puddle in store. </t>
  </si>
  <si>
    <t>Power</t>
  </si>
  <si>
    <t>004910 (65 - 575) 004910 - STORE - SOUTH ELGIN - IL - SEG - 430 NORTH MCLEAN BLVD - Active 430 NORTH MCLEAN BLVD SOUTH ELGIN, IL 60177-1419, US</t>
  </si>
  <si>
    <t>SOUTH ELGIN</t>
  </si>
  <si>
    <t>IL</t>
  </si>
  <si>
    <t>HQ USE / HQ USE - Electrical / Counters / Counter Exchange / Please  help with any power issues that may arise during the exchange of the counters.</t>
  </si>
  <si>
    <t>Door Repair</t>
  </si>
  <si>
    <t>003969 (17 - 122) 003969 - STORE - COLUMBUS - IN - CI1 - 2997 N NATIONAL RD - Active 2997 N NATIONAL RD COLUMBUS, IN 47201-3215, US</t>
  </si>
  <si>
    <t>COLUMBS</t>
  </si>
  <si>
    <t>EXTERIOR BUILDING / Door(s) / Front Door / Hinge pivot issue / What type of issue?: Damaged / Front Door will not close completely without force. Door is dragging the concrete.</t>
  </si>
  <si>
    <t>001628 (26 - 567) 001628 - STORE - CAYCE - SC - CYC - 1701 AIRPORT BOULEVARD - Active 1701 AIRPORT BOULEVARD CAYCE, SC 29033-1805, US</t>
  </si>
  <si>
    <t>CAYCE</t>
  </si>
  <si>
    <t>SC</t>
  </si>
  <si>
    <t>HQ USE / HQ USE - Electrical / Counters / Counter Exchange / Please help with any power issues that may arise during the exchange of the counters and expansion of the last counter from 8’ to 12’.</t>
  </si>
  <si>
    <t>Clogged Toilet</t>
  </si>
  <si>
    <t>002061 (74 - 184) 002061 - STORE - FORT WAYNE - IN - FT3 - 5932 WEST JEFFERSON BLVD - Active 5932 WEST JEFFERSON BLVD FORT WAYNE, IN 46804-1677, US</t>
  </si>
  <si>
    <t>FORT WAYNE</t>
  </si>
  <si>
    <t>RESTROOM / Plumbing / Toilet/Urinal / Clogged - Entire Bathroom / BOTH RESTROOM TOILETS WILL NOT GO OUT. HAD THE SAME PROBLEM YESTERDAY FOR A SHORT TIME THEN EVERYTHING WAS WORKING AGAIN. Please clear the clog and test flow.</t>
  </si>
  <si>
    <t>006862 (57 - 675) 006862 - STORE - BUFFALO - NY - BF3 - 928 BROADWAY ST - Active 928 BROADWAY ST BUFFALO, NY 14212, US</t>
  </si>
  <si>
    <t>BUFFALO</t>
  </si>
  <si>
    <t>RESTROOM / Plumbing / Sink / Sink is damaged / Both RR sinks coming off the walls. Please assess and repair as needed to restore secure mounting of the sinks.</t>
  </si>
  <si>
    <t>006797 (74 - 233) 006797 - STORE - TOLEDO - OH - TD2 - 5135 MONROE ST - Active 5135 MONROE ST TOLEDO, OH 43623, US</t>
  </si>
  <si>
    <t>TOLEDO</t>
  </si>
  <si>
    <t>EXTERIOR BUILDING / Door(s) / Front Door / Lock failure / Is the lock causing an issue with opening or closing the store?: Yes / The front door only locks with key. The lever to lock the door isn't working properly.</t>
  </si>
  <si>
    <t>001165 (11 - 74) 001165 - STORE - DOTHAN - AL - DT2 - 1991 MONTGOMERY HIGHWAY - Active 1991 MONTGOMERY HIGHWAY DOTHAN, AL 36303-3283, US</t>
  </si>
  <si>
    <t>DOTHAN</t>
  </si>
  <si>
    <t>SHOWROOM / Lighting / Interior Lighting / Partial lighting outage / SHOWROOM / Lighting / Interior Lighting / Partial lighting outage / Lights over my oil rack is flickering.</t>
  </si>
  <si>
    <t>006518 (71 - 607) 006518 - STORE - LAUDERDALE LAKES - FL - LL1 - 3595 N STATE ROAD 7 - Active 3595 N STATE ROAD 7 LAUDERDALE LAKES, FL 33319-5621, US</t>
  </si>
  <si>
    <t>LAUDERDALE LAKES</t>
  </si>
  <si>
    <t>RESTROOM / Plumbing / Toilet/Urinal / Leaking / Is this a safety risk to Team Members and/or customers?: Yes / Men's bathroom urinal water is running won't turn off. Please get water to stop running and repair.</t>
  </si>
  <si>
    <t>001344 (65 - 128) 001344 - STORE - ROCKFORD - IL - RF1 - 1733 EAST RIVERSIDE BLVD - Active 1733 EAST RIVERSIDE BLVD ROCKFORD, IL 61114-4849, US</t>
  </si>
  <si>
    <t>ROCKFORD</t>
  </si>
  <si>
    <t>HQ USE / HQ USE - Electrical / Counters / Counter Exchange / Please help with any power issues that may arise during the exchange of the counters.</t>
  </si>
  <si>
    <t>006813 (55 - 140) 006813 - STORE - COLUMBUS - GA - CM7 - 5596 MILGEN RD - Active 5596 MILGEN RD Ste 200 COLUMBUS, GA 31907, US</t>
  </si>
  <si>
    <t>BACKROOM / Lighting / Interior Lighting / Partial lighting outage / I have three lights flickering in the warehouse side of the store.</t>
  </si>
  <si>
    <t>Troubleshooting</t>
  </si>
  <si>
    <t>005129 (26 - 567) 005129 - STORE - ELGIN - SC - ELG - 1109 CHURCH ST - Active 1109 CHURCH ST ELGIN, SC 29045-9793, US</t>
  </si>
  <si>
    <t>ELGIN</t>
  </si>
  <si>
    <t>BACKROOM / Electrical / Electrical / Partial outage / The Energy Management Team at the O'Reilly Corporate Office is requesting to troubleshoot the Surveyor Data Concentrator (5 by 7 blue box by the lighting overrides that says "SURVEYOR") and tone Cat 5 cable at this site. * There is no communication with the LIGHTING or HVAC = the Energy Management System: Surveyor. The EMS Surveyor is failing to communicate.</t>
  </si>
  <si>
    <t>Led Lights</t>
  </si>
  <si>
    <t>006865 (58 - 665) 006865 - STORE - POUGHKEEPSIE - NY - PK2 - 709 MAIN ST - Active 709 MAIN ST #719 POUGHKEEPSIE, NY 12601, US</t>
  </si>
  <si>
    <t>POUGHKEEPSIE</t>
  </si>
  <si>
    <t>SHOWROOM / Lighting / Interior Lighting / Damaged / What type of damage occurred?: Standard wear and tear / A few LED light covers have fallen down.</t>
  </si>
  <si>
    <t>005172 (58 - 553) 005172 - STORE - NEW HAVEN - CT - NHV - 84 WHALLEY AVE - Active 84 WHALLEY AVE NEW HAVEN, CT 06511-3221, US</t>
  </si>
  <si>
    <t>NEW HAVEN</t>
  </si>
  <si>
    <t>RESTROOM / Plumbing / Sink / Sink is leaking / Men's bathroom sink leaking.</t>
  </si>
  <si>
    <t>Toilet repair</t>
  </si>
  <si>
    <t>RESTROOM / Plumbing / Toilet/Urinal / Damaged / "Toilet Replacement" we tested the lines after a sewer was cleared and found the Men's toilet bowl jetting is calcified and is not pushing enough water flow to correctly flush the toilet. Paper back up. The other restroom has no issues with this.</t>
  </si>
  <si>
    <t>004686 (18 - 174) 004686 - STORE - ROANOKE - AL - RNK - 4100 US HWY 431 - Active 4100 US HWY 431 ROANOKE, AL 36274-2604, US</t>
  </si>
  <si>
    <t>ROANOKE</t>
  </si>
  <si>
    <t>BACKROOM / Electrical / Electrical / Partial outage / troubleshoot the Surveyor Data Concentrator (5 by 7 blue box by the lighting overrides that says "SURVEYOR") and tone Cat 5 cable at this site. * There is no communication with the LIGHTING or HVAC = the Energy Management System: Surveyor. The EMS Surveyor is failing to communicate.</t>
  </si>
  <si>
    <t>001318 (11 - 120) 001318 - STORE - JACKSON - AL - JKN - 2704 N COLLEGE AVE - Active 2704 N COLLEGE AVE JACKSON, AL 36545-2441, US</t>
  </si>
  <si>
    <t>JACKSON</t>
  </si>
  <si>
    <t>BACKROOM / Door(s) / Freight Door - Overhead / Cannot open or close door / Was this issue caused due to damage to the building?: Yes / What type of damage occurred?: Standard wear and tear / door stays open about a foot and a half. Please investigate the door and repair and make sure door can be pulled down to secure .</t>
  </si>
  <si>
    <t>001301 (18 - 634) 001301 - STORE - PRATTVILLE - AL - PV1 - 1760 EAST MAIN - Active 1760 EAST MAIN PRATTVILLE, AL 36066-5582, US</t>
  </si>
  <si>
    <t>PRATTVILLE</t>
  </si>
  <si>
    <t>RESTROOM / Plumbing / Toilet/Urinal / Clogged - Entire Bathroom / When both toilets flush it seems like there is not enough suction. My Team Member was cleaning the bathroom per closing tasks, and had noticed this issue.</t>
  </si>
  <si>
    <t>006446 (12 - 540) 006446 - STORE - SPRING HILL - TN - SH2 - 4872 PORT ROYAL RD - Active 4872 PORT ROYAL RD SPRING HILL, TN 37174, US</t>
  </si>
  <si>
    <t>SPRING HILL</t>
  </si>
  <si>
    <t>RESTROOM / Plumbing / Toilet/Urinal / Clogged - Singular / For the last 2 days the women's toilet has backed up.  Its back to flooding, and wont flush every time. We can get half a day of good use then will flood for a few hrs then go right back to being fine.</t>
  </si>
  <si>
    <t>Recall</t>
  </si>
  <si>
    <t>Freight door repair</t>
  </si>
  <si>
    <t>002247 (27 - 320) 002247 - STORE - SALEM - VA - SLV - 911 WEST MAIN STREET - Active 911 WEST MAIN STREET SALEM, VA 24153-4716, US</t>
  </si>
  <si>
    <t>SALEM</t>
  </si>
  <si>
    <t>BACKROOM / Door(s) / Freight Door - Non-Overhead / Damaged - non emergency / What type of damage occurred?: Storm / Wind caught door and tore apart closing mechanism. Please send a Tech to investigate.</t>
  </si>
  <si>
    <t>006001 (56 - 636) 006001 - STORE - CROSS LANES - WV - CSL - 5455 BIG TYLER RD - Active 5455 BIG TYLER RD STE A CROSS LANES, WV 25313-1193, US</t>
  </si>
  <si>
    <t>CROSS LANES</t>
  </si>
  <si>
    <t>WV</t>
  </si>
  <si>
    <t>RESTROOM / Plumbing / Toilet/Urinal / Leaking / Is this a safety risk to Team Members and/or customers?: Yes / Toilet leaking from bottom.</t>
  </si>
  <si>
    <t>003573 (32 - 258) 003573 - STORE - APACHE JUNCTION - AZ - APJ - 1401 WEST APACHE TRAIL - Active 1401 WEST APACHE TRAIL APACHE JUNCTION, AZ 85120-3861, US</t>
  </si>
  <si>
    <t>APACHE JUNCTION</t>
  </si>
  <si>
    <t>RESTROOM / Plumbing / Toilet/Urinal / Damaged / toilet not flushing.</t>
  </si>
  <si>
    <t>Max Reed</t>
  </si>
  <si>
    <t>006437 (55 - 408) 006437 - STORE - REX - GA - REX - 6464 HIGHWAY 42 - Active 6464 HIGHWAY 42 REX, GA 30273, US</t>
  </si>
  <si>
    <t>REX</t>
  </si>
  <si>
    <t>SHOWROOM / Painting / Wall / Needs painting / Sm reports that about a year ago there was an electrical fire back by where the thermostats are on the wall and that the damage was never fixed, that the wall is still scorched.</t>
  </si>
  <si>
    <t>005793 (56 - 569) 005793 - STORE - EAST LIVERPOOL - OH - ELP - 313 JACKSON ST - Active 313 JACKSON ST EAST LIVERPOOL, OH 43920-4544, US</t>
  </si>
  <si>
    <t>EAST LIVERPOOL</t>
  </si>
  <si>
    <t>RESTROOM / Plumbing / Toilet/Urinal / Clogged - Entire Bathroom / Both toilets wont flush properly and are over flowing on to the floor.</t>
  </si>
  <si>
    <t>006182 (57 - 566) 006182 - STORE - WATERTOWN - NY - WT1 - 301 ARSENAL ST - Active 301 ARSENAL ST WATERTOWN, NY 13601, US</t>
  </si>
  <si>
    <t>WATERTOWN</t>
  </si>
  <si>
    <t>SHOWROOM / Door(s) / Front Door / Cannot open or close door / Was this issue caused due to damage to the building?: No / 50 MPH wind gust in the area today. Caught the door causing door closer device and wind chain to come off. Please assess and repair the door closer and wind chain, repair/replace as needed to restore proper operation.</t>
  </si>
  <si>
    <t>001672 (59 - 462) 001672 - STORE - SALEM - IN - SAI - 1106 WEST MULBERRY STREET - Active 1106 WEST MULBERRY STREET SALEM, IN 47167-1530, US</t>
  </si>
  <si>
    <t>WEST MULBERRY SALEM</t>
  </si>
  <si>
    <t>EXTERIOR BUILDING / Door(s) / Front Door / Door closer issue / What type of issue?: Slamming / Did this resolve the issue?: No / The door closer on the front door is allowing the door to slam shut.</t>
  </si>
  <si>
    <t>Breaker</t>
  </si>
  <si>
    <t>005398 (56 - 622) 005398 - STORE - CRANBERRY TOWNSHIP - PA - CTP - 20541 ROUTE 19 - Active 20541 ROUTE 19 CRANBERRY TOWNSHIP, PA 16066-7509, US</t>
  </si>
  <si>
    <t>CRANBERRY TOWNSHIP</t>
  </si>
  <si>
    <t>PA</t>
  </si>
  <si>
    <t>BACKROOM / Electrical / Electrical / Partial outage /  SM reports a breaker is tripped and smells like smoke as well as a loud buzzing sound, this has turned his stockroom lights off.</t>
  </si>
  <si>
    <t xml:space="preserve">Trash Enclosure </t>
  </si>
  <si>
    <t>003707 (70 - 266) 003707 - RELOCATION - RICHLAND - WA - RIC - 1890 JADWIN AVE - Active 1890 JADWIN AVE RICHLAND, WA 99354-2555, US</t>
  </si>
  <si>
    <t>RICHLAND</t>
  </si>
  <si>
    <t>PARKING LOT / Fence / Trash Enclosure / Repair needed / What type of damage occurred?: Storm / The wood fence enclosure around the dumpster is damaged due to heavy winds and a section/panel is falling over.</t>
  </si>
  <si>
    <t>Flooring</t>
  </si>
  <si>
    <t>Tiles</t>
  </si>
  <si>
    <t>003706 (51 - 201) 003706 - STORE - BELLINGHAM - WA - BL3 - 4056 GUIDE MERIDIAN - Active 4056 GUIDE MERIDIAN BELLINGHAM, WA 98226-5517, US</t>
  </si>
  <si>
    <t>BELLINGHAM</t>
  </si>
  <si>
    <t>BACKROOM / Flooring / Tile / Tile needs repair / Is this a trip and fall hazard?: No / Damaged tiles in backroom need to be removed from the walkways and concrete sanded so they are not tacky with adhesive. Tiles under the racks do not need to be touched.</t>
  </si>
  <si>
    <t>003090 (76 - 269) 003090 - STORE - SIERRA VISTA - AZ - SV1 - 1725 EAST FRY BOULEVARD - Active 1725 EAST FRY BOULEVARD SIERRA VISTA, AZ 85635-2702, US</t>
  </si>
  <si>
    <t>SIERRA VISTA</t>
  </si>
  <si>
    <t>Mailbox</t>
  </si>
  <si>
    <t>005281 (17 - 422) 005281 - STORE - FISHERS - IN - FS2 - 14067 TRADE CENTER DR - Active 14067 TRADE CENTER DR FISHERS, IN 46038-4551, US</t>
  </si>
  <si>
    <t>FISHERS</t>
  </si>
  <si>
    <t>EXTERIOR GROUNDS / Mailbox / Mailbox / Damaged mailbox / Was ran over and smashed. We will need a Tech to replace it.</t>
  </si>
  <si>
    <t>Signs</t>
  </si>
  <si>
    <t>001449 (26 - 146) 001449 - STORE - GREENVILLE - SC - GL2 - 712 POINSETT HIGHWAY - Active 712 POINSETT HIGHWAY GREENVILLE, SC 29609-5900, US</t>
  </si>
  <si>
    <t>GREENVILLE</t>
  </si>
  <si>
    <t xml:space="preserve">EXTERIOR BUILDING / Electrical / Electrical / Partial outage /  the Pole sign and the sign on the side of the building is not operational, 'no power'. </t>
  </si>
  <si>
    <t>Tint</t>
  </si>
  <si>
    <t>003986 (51 - 201) 003986 - STORE - ANACORTES - WA - ACT - 2219 COMMERCIAL AVE - Active 2219 COMMERCIAL AVE ANACORTES, WA 98221-2531, US</t>
  </si>
  <si>
    <t>ANACORTES</t>
  </si>
  <si>
    <t>HQ USE / HQ USE - Glass &amp; Window / Window - Multiple / Tinting/Shades Needed / tint on a window on the SE corner of the building.</t>
  </si>
  <si>
    <t>Outlet</t>
  </si>
  <si>
    <t>004514 (50 - 352) 004514 - STORE - SACO - ME - SCO - 3 OCEAN PARK RD - Active 3 OCEAN PARK RD SACO, ME 04072-1609, US</t>
  </si>
  <si>
    <t>SACO</t>
  </si>
  <si>
    <t>ME</t>
  </si>
  <si>
    <t>BACKROOM / Electrical / Outlet(s) / Additional Needed / currently have a standard 2 outlet mounted to wall and need a 4 brick installed to move check in station to proper location near receiving door.</t>
  </si>
  <si>
    <t>PINE AVE</t>
  </si>
  <si>
    <t>SHOWROOM / Door(s) / Front Door / Door closer issue / What type of issue?: Damaged / The store has 2 sets of double front doors. The front doors facing Betty's Cafe are very difficult to pull open from the outside. The other set of front doors, facing Pine Ave. blow open and the closers will not hold them shut anymore. Please assess all 4 exterior front doors and their hardware, repair as needed to restore proper door closure/operation. Please also check all weather seals and add heavy duty wind chains to all 4 doors to assist the closers in keeping the doors closed.</t>
  </si>
  <si>
    <t>001313 (69 - 76) 001313 - STORE - MADISON - AL - MS1 - 5941 WALL TRIANA HIGHWAY - Active 5941 WALL TRIANA HIGHWAY MADISON, AL 35757-7201, US</t>
  </si>
  <si>
    <t>MADISON</t>
  </si>
  <si>
    <t>EXTERIOR BUILDING / Door(s) / Freight Door - Non-Overhead / Damaged  / What type of damage occurred?: Standard wear and tear / needs painted/ rusty at the bottom.</t>
  </si>
  <si>
    <t>Floor Drain</t>
  </si>
  <si>
    <t>005962 (47 - 581) 005962 - STORE - EAST QUINCY - CA - EQC - 1750 E MAIN ST - Active 1750 E MAIN ST EAST QUINCY, CA 95971, US</t>
  </si>
  <si>
    <t>RESTROOM / Plumbing / Floor Drains / Clogged / sewer smell arises on occasion more noticeable during rainy days been an issues for now over 7 days effecting team member and customers throughout store. Poring water or mix with de greaser has not helped at all.</t>
  </si>
  <si>
    <t>003429 (65 - 575) 003429 - STORE - ELGIN - IL - EL1 - 854 SUMMIT STREET - Active 854 SUMMIT STREET ELGIN, IL 60120-4316, US</t>
  </si>
  <si>
    <t xml:space="preserve">HQ USE / HQ USE - Electrical / Counters / Counter Exchange / Please help with any power issues that may arise during the exchange of the retail counters. </t>
  </si>
  <si>
    <t xml:space="preserve">RESTROOM / Plumbing / Water Faucet/Hydrant/Spigot / Leaking / Is this a safety risk to Team Members and/or customers?: No / The pipe under the sink in the men's bathroom is leaking when the water is turned on, when water is off it is a slow drip coming out of the pipe. Currently have the water to the men's bathroom turned off. </t>
  </si>
  <si>
    <t>001245 (11 - 564) 001245 - STORE - ANDALUSIA - AL - ALS - 208 WEST BYPASS - Active 208 WEST BYPASS ANDALUSIA, AL 36420-2512, US</t>
  </si>
  <si>
    <t>ANDALUSIA</t>
  </si>
  <si>
    <t xml:space="preserve"> BACKROOM / Lighting / Interior Lighting / Partial lighting outage / we have 4 Light strips not functioning properly. 2 are flashing two were flashing fast and had to be removed.</t>
  </si>
  <si>
    <t>Golf &amp; Tennis Pro Shop</t>
  </si>
  <si>
    <t>Transiton Strip</t>
  </si>
  <si>
    <t>Golf &amp; Tennis Pro Shop 7000 E Mayo Blvd Phoenix, AZ 85054</t>
  </si>
  <si>
    <t>PHOENIX</t>
  </si>
  <si>
    <t xml:space="preserve">Trip Hazard” - Transition strip in Hard Goods needs replacing. </t>
  </si>
  <si>
    <t>SAIA</t>
  </si>
  <si>
    <t>Landscaping</t>
  </si>
  <si>
    <t>Vegetation</t>
  </si>
  <si>
    <t>SAIA - 2830 I-70 Business Loop Grand Junction, CO 81501</t>
  </si>
  <si>
    <t>GRAND JUNCTION</t>
  </si>
  <si>
    <t>CO</t>
  </si>
  <si>
    <t>Vegetation Removal  - we need the removal or treatment of all vegetation within 2 feet on either side of the electric fence.</t>
  </si>
  <si>
    <t>Clean up</t>
  </si>
  <si>
    <t>006744 (31 - 225) 006744 - STORE - LOCKEFORD - CA - LKE - 12999 BLOSSOM CT - Active 12999 BLOSSOM CT LOCKEFORD, CA 95237, US</t>
  </si>
  <si>
    <t>LOCKEFORD</t>
  </si>
  <si>
    <t>EXTERIOR GROUNDS / Landscaping / Landscaping / Grounds clean up / vacant land next door is being neglected. This is an owned store./ clean up the landscaping on the vacant lot.</t>
  </si>
  <si>
    <t>PO-94327</t>
  </si>
  <si>
    <t>US Bank</t>
  </si>
  <si>
    <t>Insulation Company</t>
  </si>
  <si>
    <t>Foam Insulation</t>
  </si>
  <si>
    <t>US Bank- 215 1st St S Great Falls, MT</t>
  </si>
  <si>
    <t>SPRAY FOAM INSULATION-There may be a small amount of water getting in from the west side due to pour seants. The main issue is that the areas pictured are conditioned space to cold wall. This is causing condensation in the winter, that is running down the wall around most of the breaker room.</t>
  </si>
  <si>
    <t>Servo-99167</t>
  </si>
  <si>
    <t>Knox Box</t>
  </si>
  <si>
    <t>US bank, 302 Jackson st, Helena, MT. 59601</t>
  </si>
  <si>
    <t>HELENA</t>
  </si>
  <si>
    <t>Per the Fire Marshal’s citation, the building failed to meet two essential requirements: signage and a Knox Box installation.</t>
  </si>
  <si>
    <t>WJ-G01-2512</t>
  </si>
  <si>
    <t>US Bank- Van Wert, OH 818 S Shannon St Van Wert</t>
  </si>
  <si>
    <t>VAN WERT</t>
  </si>
  <si>
    <t>Replace existing swing-half door with more commercial graded self closing one. It's preferrable to be wooden door/ advanced mechanism.</t>
  </si>
  <si>
    <t>WOFM0000079553</t>
  </si>
  <si>
    <t>Cadence Education</t>
  </si>
  <si>
    <t>Cadence Education 2850 Old Nation Road, Fort Mill, SC, 29715- 8838</t>
  </si>
  <si>
    <t>FORT MILL</t>
  </si>
  <si>
    <t xml:space="preserve">CLASSROOM Prek / Electrical / Panel, Breaker / Blown Fuse or Malfunctioning breaker  / NO heat in
</t>
  </si>
  <si>
    <t>Repair and Install</t>
  </si>
  <si>
    <t>006654 (18 - 119) 006654 - STORE - ROME - GA - RM3 - 1815 DEAN AVE SE - Active 1815 DEAN AVE SE ROME, GA 30161-7107, US</t>
  </si>
  <si>
    <t xml:space="preserve">ROME </t>
  </si>
  <si>
    <t>OFFICE/TRAINING ROOM / Signage / Interior Signage / Violation received / Has the violation already been resolved prior to receiving the notice?: No / Is there a fine associated with the violations?: No / SM states that the fire exit sign needs to be replaced. Please replace the exit sign with one that meets local code.</t>
  </si>
  <si>
    <t>004944 (58 - 554) 004944 - STORE - CHICOPEE - MA - CP1 - 1610 MEMORIAL DR - Active 1610 MEMORIAL DR CHICOPEE, MA 01020-3933, US</t>
  </si>
  <si>
    <t>CHICOPEE</t>
  </si>
  <si>
    <t>BACKROOM / Electrical / Electrical / Partial outage / Lost comms to the IO module (lighting control). Need  to troubleshoot</t>
  </si>
  <si>
    <t>004542 (57 - 501) 004542 - STORE - CLAREMONT - NH - CM1 - 323 WASHINGTON ST - Active 323 WASHINGTON ST CLAREMONT, NH 03743-5520, US</t>
  </si>
  <si>
    <t>CLAREMONT</t>
  </si>
  <si>
    <t>NH</t>
  </si>
  <si>
    <t>BACKROOM / Electrical / Exhaust Fan / Making Noise (Paint Room) / There is a severe leaking sound from the compressor for the paint room and there is a strong smell of exhaust coming from that area too.</t>
  </si>
  <si>
    <t>004980 (21 - 329) 004980 - STORE - CIRCLEVILLE - OH - CCV - 1435 SOUTH COURT STREET - Active 1435 SOUTH COURT STREET CIRCLEVILLE, OH 43113-2166, US</t>
  </si>
  <si>
    <t>CIRCLEVILLE</t>
  </si>
  <si>
    <t>SHOWROOM / Door(s) / Front Door / Difficult to open or close / Was this issue caused due to damage to the building?: No / Door is catching on the bottom plate of the doorway.</t>
  </si>
  <si>
    <t>RESTROOM / Plumbing / Toilet/Urinal / Clogged - Entire Bathroom / Both toilets will not flush.</t>
  </si>
  <si>
    <t>001629 (45 - 474) 001629 - STORE - VALDOSTA - GA - VD2 - 2612 BEMISS ROAD - Active 2612 BEMISS ROAD VALDOSTA, GA 31602-1402, US</t>
  </si>
  <si>
    <t>VALDOSTA</t>
  </si>
  <si>
    <t>RESTROOM / Plumbing / Toilet/Urinal / Damaged / A hold-down bolt on the toilet broke and now the toilet leans dangerously. The toilet will need to be lifted and reset with a new seal.</t>
  </si>
  <si>
    <t>RESTROOM / Plumbing / Water Lines / Leaking / Is this a safety risk to Team Members and/or customers?: No / Water is leaking from the shutoff valve in the women's bathroom.</t>
  </si>
  <si>
    <t>001419 (65 - 128) 001419 - STORE - ROCKFORD - IL - RF3 - 3816 BROADWAY - Active 3816 BROADWAY ROCKFORD, IL 61108-6221, US</t>
  </si>
  <si>
    <t>HQ USE / HQ USE - Electrical / Counters / Counter Exchange / Please help with any power issues that may arise during the exchange of the retail counters.</t>
  </si>
  <si>
    <t>002387 (42 - 589) 002387 - STORE - BRUNSWICK - OH - BWK - 4143 CENTER ROAD - Active 4143 CENTER ROAD BRUNSWICK, OH 44212-2935, US</t>
  </si>
  <si>
    <t>BRUNSWICK</t>
  </si>
  <si>
    <t xml:space="preserve">EXTERIOR BUILDING / Door(s) / Freight Door - Non-Overhead / Door closer issue / What type of issue?: Leaking / REAR MAN DOOR HYDRAULIC CLOSER LEAKING/PIVOT POINT FOR DOOR FOLDED IN HALF. NEEDS </t>
  </si>
  <si>
    <t>door repair</t>
  </si>
  <si>
    <t xml:space="preserve">SHOWROOM / Door(s) / Interior Door / Damaged  / What type of damage occurred?: Standard wear and tear / The store has a set of interior front doors separating the showroom from the vestibule. There is a very large gap between the floor and the bottom of the doors, allowing a massive cold breeze the enter the showroom right where the registers are. Please assess these inner front doors and repair as needed to add full weather stripping to stop wind coming into the showroom. </t>
  </si>
  <si>
    <t>002847 (34 - 243) 002847 - STORE - EL CAJON - CA - EC2 - 485 BROADWAY - Active 485 BROADWAY EL CAJON, CA 92021-5422, US</t>
  </si>
  <si>
    <t>EL CAJON</t>
  </si>
  <si>
    <t>SHOWROOM / Electrical / Outlet(s) / Additional Needed / need additional outlet to get rid of extensions cords for battery tester machine</t>
  </si>
  <si>
    <t>GUIDE MERIDIAN</t>
  </si>
  <si>
    <t>BACKROOM / Electrical / Electrical / Partial outage / BACKROOM TESTER STATION WITHOUT POWER. ATTEMPTED RESET OF TESTERS, STILL NO POWER. UNPLUGGED UNITS, PLUGGED THEM BACK IN, STILL WITHOUT POWER. diagnose the circuit and repair as needed to get the outlet back up to working correctly.</t>
  </si>
  <si>
    <t>RESTROOM / Plumbing / Toilet/Urinal / Clogged - Singular /Toilet has been snaked several times to remove paper towels. Shared wall toilet on the other side of the wall is not having issues, Please pull toilet to investigate and repair as needed for correct operation.</t>
  </si>
  <si>
    <t>Lighting repair</t>
  </si>
  <si>
    <t>002073 (59 - 172) 002073 - STORE - TELL CITY - IN - TCI - 214 US HIGHWAY 66 EAST - Active 214 US HIGHWAY 66 EAST TELL CITY, IN 47586-2043, US.</t>
  </si>
  <si>
    <t>TELL CITY</t>
  </si>
  <si>
    <t>SHOWROOM / Lighting / Interior Lighting / Partial lighting outage / Store has 8 lights above the counter that are flashing consistently.</t>
  </si>
  <si>
    <t>004400 (22 - 98) 004400 - STORE - GALAX - VA - GLX - 1035 E STUART DR - Active 1035 E STUART DR GALAX, VA 24333-2511, US</t>
  </si>
  <si>
    <t>GALAX</t>
  </si>
  <si>
    <t>EXTERIOR BUILDING / Door(s) / Front Door / Cannot open or close door / Was this issue caused due to damage to the building?: No / Door is stuck shut, cannot open front door due to locking mechanism being broken.</t>
  </si>
  <si>
    <t>Ceiling tiles</t>
  </si>
  <si>
    <t>BACKROOM / Ceiling / Ceiling / Falling insulation /(2) ceiling tiles damaged from rain and (1) fell from said damage. /// Please provide and replace (2) ceiling tiles as needed for correct operation.</t>
  </si>
  <si>
    <t xml:space="preserve">RESTROOM / Plumbing / Toilet/Urinal / Damaged / Toilet still rocking </t>
  </si>
  <si>
    <t>Trash Enclosure</t>
  </si>
  <si>
    <t>004696 (27 - 412) 004696 - STORE - ASHLAND - VA - AS1 - 212 S WASHINGTON HWY - Active 212 S WASHINGTON HWY ASHLAND, VA 23005-2209, US</t>
  </si>
  <si>
    <t>ASHLAND</t>
  </si>
  <si>
    <t>EXTERIOR GROUNDS / Fence / Trash Enclosure / Repair needed / What type of damage occurred?: Standard wear and tear / Trash enclosure is damaged.</t>
  </si>
  <si>
    <t>005863 (42 - 472) 005863 - STORE - EUCLID - OH - ELD - 689 E 200TH ST - Active 689 E 200TH ST EUCLID, OH 44119-2503, US</t>
  </si>
  <si>
    <t xml:space="preserve">EUCLID </t>
  </si>
  <si>
    <t xml:space="preserve">SHOWROOM / Door(s) / Front Door / Door closer issue / What type of issue?: Damaged / Broken Door closer. Please assess and repair as needed to restore proper operation. </t>
  </si>
  <si>
    <t>001328 (12 - 137) 001328 - STORE - COLUMBIA - TN - CA2 - 2300 CARMACK BOULEVARD - Active 2300 CARMACK BOULEVARD COLUMBIA, TN 38401-4415, US</t>
  </si>
  <si>
    <t>CARMACK BLVD, COLUMBIA</t>
  </si>
  <si>
    <t>BACKROOM / Plumbing / Water Lines / Pipe has busted or been severally damaged. Large amounts of water come into store when trying to use water outlet outside or when raining.</t>
  </si>
  <si>
    <t>004026 (27 - 465) 004026 - STORE - LYNCHBURG - VA - LH2 - 3112 OLD FOREST RD - Active 3112 OLD FOREST RD LYNCHBURG, VA 24501-2324, US</t>
  </si>
  <si>
    <t>LYNCHBURG</t>
  </si>
  <si>
    <t>SHOWROOM / Ceiling / Ceiling / Damaged ceiling / Need  to install new ceiling tiles. Material is onsite.</t>
  </si>
  <si>
    <t>005587 (42 - 399) 005587 - STORE - SHELBY - OH - SLY - 222 MANSFIELD AVE - Active 222 MANSFIELD AVE SHELBY, OH 44875-1867, US</t>
  </si>
  <si>
    <t>MANSFEILD AVE SHELBY</t>
  </si>
  <si>
    <t xml:space="preserve"> RESTROOM / Plumbing / Hot Water Heater / No hot water / Water heater not working for over a week now, reset breaker and tested in both restrooms still not working. Please replace water heater with like-kind</t>
  </si>
  <si>
    <t>Reassigned- Parts</t>
  </si>
  <si>
    <t>LED Lights</t>
  </si>
  <si>
    <t>CLARCKSTON</t>
  </si>
  <si>
    <t>BACKROOM / Lighting / Interior Lighting / Partial lighting outage / We just had two sections of lighting fixed in the backroom, we discovered a third section that had stopped functioning after the replacement parts were already received. This section is in the very back corner of the store near the electrical panels and MS supplies.// Store reports 1 8ft section(s) of LED lights are out in the backroom. I have 1 LED driver(s) that is at the store that needs changed out.</t>
  </si>
  <si>
    <t>Partial Outage</t>
  </si>
  <si>
    <t>006394 (58 - 665) 006394 - STORE - NEW MILFORD - CT - NMF - 55 DANBURY RD - Active 55 DANBURY RD NEW MILFORD, CT 06776-3401, US</t>
  </si>
  <si>
    <t>NEW MILFORD</t>
  </si>
  <si>
    <t xml:space="preserve">BACKROOM / Electrical / Electrical / Partial outage / Lost comms with the site. Please assess for troubleshooting/operations. </t>
  </si>
  <si>
    <t>001812 (26 - 146) 001812 - STORE - BEREA - SC - BRA - 35 FARRS BRIDGE RD - Active 35 FARRS BRIDGE RD BEREA, SC 29617-1944, US</t>
  </si>
  <si>
    <t>BEREA</t>
  </si>
  <si>
    <t>BACKROOM / Lighting / Security Lighting / Not operational / Dc driver says light is not working at door.</t>
  </si>
  <si>
    <t>004515 (50 - 603) 004515 - STORE - PRESQUE ISLE - ME - PRQ - 755 MAIN ST - Active 755 MAIN ST PRESQUE ISLE, ME 04769-2253, US</t>
  </si>
  <si>
    <t>PRESQUE ISLE</t>
  </si>
  <si>
    <t>BACKROOM / Door(s) / Freight Door - Overhead / Cannot open or close door / Was this issue caused due to damage to the building?: No / The overhead door does not open or close at all. We need this door operational tonight for expected delivery.</t>
  </si>
  <si>
    <t>Panel</t>
  </si>
  <si>
    <t>004705 (68 - 192) 004705 - STORE - SAVANNAH - GA - SH3 - 5981 OGEECHEE RD - Active 5981 OGEECHEE RD SAVANNAH, GA 31419-8901, US</t>
  </si>
  <si>
    <t>RESTROOM / Wall(s) / Wall / Water coming in through the wall / No water coming through wall anymore  previously  have my wall panel put back up and it was never done. one panel is completely down and the one next to that is bowing out an needs to be reglued. Please re-install the FRP panels.</t>
  </si>
  <si>
    <t>LED Drivers</t>
  </si>
  <si>
    <t>006688 (72 - 304) 006688 - STORE - UNION CITY - IN - UCI - 508 W CHESTNUT ST - Active 508 W CHESTNUT ST UNION CITY, IN 47390-1308, US</t>
  </si>
  <si>
    <t>UNION CITY</t>
  </si>
  <si>
    <t xml:space="preserve">SHOWROOM / Lighting / Interior Lighting / Partial lighting outage / Store has (3) 8ft fixtures out. Replacements LED Drivers are onsite ready to be installed. </t>
  </si>
  <si>
    <t>007009 (57 - 681) 007009 - STORE - BUFFALO - NY - BF4 - 5355 TRANSIT RD - Active 5355 TRANSIT RD BUFFALO, 14221, US</t>
  </si>
  <si>
    <t xml:space="preserve">BACKROOM / Electrical / Electrical / Partial outage / 5 and bring a long CAT6 cable. </t>
  </si>
  <si>
    <t>Mop Sink</t>
  </si>
  <si>
    <t>002062 (72 - 488) 002062 - STORE - COLUMBUS - OH - CB2 - 1424 HARRISBURG PIKE - Active 1424 HARRISBURG PIKE COLUMBUS, OH 43223-3231, US</t>
  </si>
  <si>
    <t>COLUMBUS</t>
  </si>
  <si>
    <t xml:space="preserve"> RESTROOM / Plumbing / Mop Sink / Sink is leaking / Is constantly running water will not shut off. Please assess and repair as needed to restore plumbing integrity.</t>
  </si>
  <si>
    <t>004820 (42 - 380) 004820 - STORE - MINERVA - OH - MNV - 1100 ALLIANCE ROAD NW - Active 1100 ALLIANCE ROAD NW MINERVA, OH 44657-9700, US</t>
  </si>
  <si>
    <t>MINERVA</t>
  </si>
  <si>
    <t>RESTROOM / Plumbing / Hot Water Heater / No hot water / turbo water heater at the sink itself does not heat the water and turns off after 30 sec to 1 min of run time without heating the water at all, all attempts to fix this through power resets or otherwise have failed. Please replace water heater with a like-kind</t>
  </si>
  <si>
    <t>Hinge Pivot</t>
  </si>
  <si>
    <t>001999 (45 - 367) 001999 - STORE - JACKSONVILLE - FL - JV2 - 4124 EMERSON STREET - Active 4124 EMERSON STREET JACKSONVILLE, FL 32207-4790, US</t>
  </si>
  <si>
    <t>JACKSONVILLE</t>
  </si>
  <si>
    <t>EXTERIOR BUILDING / Door(s) / Freight Door - Non-Overhead / Hinge pivot issue / What type of issue?: Loose / top hinge is loose, door is sagging slightly. Please adjust the door and test function.</t>
  </si>
  <si>
    <t>002661 (70 - 371) 002661 - STORE - SPOKANE VALLEY - WA - SV2 - 2204 NORTH ARGONNE ROAD - Active 2204 NORTH ARGONNE ROAD SPOKANE VALLEY, WA 99212-2337, US</t>
  </si>
  <si>
    <t>SPOKANE VALLEY</t>
  </si>
  <si>
    <t>BACKROOM / Lighting / Interior Lighting / Partial lighting outage / 2 lights out in backroom and 2 lights blinking behind oil bar // 2 8ft section(s) of LED lights are out in the backroom. I have 2 LED driver(s) that is at the store that needs changed out.</t>
  </si>
  <si>
    <t>005323 (56 - 569) 005323 - STORE - NESHANNOCK - PA - NES - 2523 WILMINGTON RD - Active 2523 WILMINGTON RD NESHANNOCK, PA 16105, US</t>
  </si>
  <si>
    <t>WILMINGTON</t>
  </si>
  <si>
    <t>RESTROOM / Plumbing / Water Lines / Frozen / water line frozen no water for toilets or fountains. Please assess the water lines, and repair as needed to thaw them to restore water service to the store.</t>
  </si>
  <si>
    <t>003218 (31 - 224) 003218 - STORE - DAVIS - CA - DAV - 1681 RESEARCH PARK DRIVE - Active 1681 RESEARCH PARK DRIVE DAVIS, CA 95618-6131, US</t>
  </si>
  <si>
    <t>DAVIS</t>
  </si>
  <si>
    <t xml:space="preserve">RESTROOM / Lighting / Interior Lighting / Partial lighting outage / The first bathroom light is out, the light on the switch is out as well. i tried flipping the breaker and it did nothing. the other bathroom is on the same breaker and is still working. we are using a flashlight to go to the bathroom and would like this fixed please. </t>
  </si>
  <si>
    <t>002502 (51 - 442) 002502 - STORE - EVERETT - WA - EV1 - 1510 BROADWAY - Active 1510 BROADWAY EVERETT, WA 98201-1722, US</t>
  </si>
  <si>
    <t>BROADWAY EVERETT</t>
  </si>
  <si>
    <t>BACKROOM / Plumbing / Mop Sink / Sink is damaged / Mop Sink is broken and leaking. Needs replaced.//repair/replace what is needed to repair the mop sink faucet from leaking.</t>
  </si>
  <si>
    <t>002114 (69 - 648) 002114 - STORE - DECATUR - AL - DE2 - 2202 BELTLINE ROAD SW - Active 2202 BELTLINE ROAD SW DECATUR, AL 35601-3618, US</t>
  </si>
  <si>
    <t>DECATUR</t>
  </si>
  <si>
    <t>RESTROOM / Plumbing / Toilet/Urinal / Leaking / Is this a safety risk to Team Members and/or customers?: No / Toilet is leaking either at the pipe or from the rubber gasket at toilet.</t>
  </si>
  <si>
    <t>002031 (68 - 609) 002031 - STORE - EASTMAN - GA - EMN - 430 OAK STREET - Active 430 OAK STREET EASTMAN, GA 31023-6620, US</t>
  </si>
  <si>
    <t>EASTMAN</t>
  </si>
  <si>
    <t>SHOWROOM / Door(s) / Front Door / Lock failure / Is the lock causing an issue with opening or closing the store?: Yes / lock on door wont work.</t>
  </si>
  <si>
    <t>006765 (34 - 635) 006765 - STORE - ESCONDIDO - CA - ES4 - 635 N BROADWAY - Active 635 N BROADWAY ESCONDIDO, CA 92025, US</t>
  </si>
  <si>
    <t>BROADWAY ESCONDIDO</t>
  </si>
  <si>
    <t>OFFICE/TRAINING ROOM / Electrical / Outlet(s) / Additional Needed /  need 4 extra power outlets input upstairs in training area.</t>
  </si>
  <si>
    <t>leaking</t>
  </si>
  <si>
    <t>005283 (58 - 499) 005283 - STORE - WILLIMANTIC - CT - WMC - 1031 MAIN STREET - Active 1031 MAIN STREET WILLIMANTIC, CT 06226-2111, US</t>
  </si>
  <si>
    <t>WILLIMANTIC</t>
  </si>
  <si>
    <t>RESTROOM / Plumbing / Toilet/Urinal / Leaking / Is this a safety risk to Team Members and/or customers?: No / the wax ring on the men's bathroom toilet is leaking badly every time you flush. Please replace the wax ring on the toilet and reset it properly.</t>
  </si>
  <si>
    <t>hot water</t>
  </si>
  <si>
    <t>000979 (54 - 546) 000979 - STORE - BOLIVAR - TN - BVR - 217 WEST MARKET STREET - Active 217 WEST MARKET STREET BOLIVAR, TN 38008-2601, US</t>
  </si>
  <si>
    <t>BOLIVAR</t>
  </si>
  <si>
    <t>BACKROOM / Plumbing / Hot Water Heater / No hot water / Water heater is in office closet, checked it for bad weather coming in. Top is very bad rusted out. leaking from a elbow that is copper, galvanized and plastic fitted. Store reports no hot water.</t>
  </si>
  <si>
    <t>002501 (51 - 294) 002501 - STORE - SEATTLE - WA - SE2 - 14320 AURORA AVENUE NORTH - Active 14320 AURORA AVENUE NORTH SEATTLE, WA 98133-6917, US</t>
  </si>
  <si>
    <t>SEATTLE</t>
  </si>
  <si>
    <t>RESTROOM / Plumbing / Toilet/Urinal / Leaking / Is this a safety risk to Team Members and/or customers?: Yes / toilet is leaking at the base</t>
  </si>
  <si>
    <t>006526 (27 - 600) 006526 - STORE - STAUNTON - VA - SAU - 715 RICHMOND AVE - Active 715 RICHMOND AVE STAUNTON, VA 24401, US</t>
  </si>
  <si>
    <t>RICHMOND AVE STAUNTION</t>
  </si>
  <si>
    <t>EXTERIOR BUILDING / Fence / Trash Enclosure / Repair needed / What type of damage occurred?: Vehicle / Who caused the vehicle damage?: Customer / Is the customer insured?: No / Trash enclosure is damaged.</t>
  </si>
  <si>
    <t>006492 (17 - 519) 006492 - STORE - Avon - IN - AVO - 7752 EAST US-HWY 36 - Active 7752 EAST US-HWY 36 Avon, IN 46123, US</t>
  </si>
  <si>
    <t>AVON</t>
  </si>
  <si>
    <t>EXTERIOR BUILDING / Door(s) / Front Door / Hinge pivot issue / What type of issue?: Loose / Both the Exterior and Interior Front Doors have began to sag and are catching on the threshold plate.</t>
  </si>
  <si>
    <t>003789 (70 - 266) 003789 - STORE - PASCO - WA - PC2 - 738 NORTH 20TH AVENUE - Active 738 NORTH 20TH AVENUE PASCO, WA 99301-4853, US</t>
  </si>
  <si>
    <t>AVENUE PASCO</t>
  </si>
  <si>
    <t>Voltage</t>
  </si>
  <si>
    <t>Saia 345 Rocus Street Springfield, MA 01104</t>
  </si>
  <si>
    <t>SPRINGFIELD</t>
  </si>
  <si>
    <t>check for voltage at the snow scraper</t>
  </si>
  <si>
    <t>000898 (54 - 108) 000898 - STORE - BROWNSVILLE - TN - BRN - 304 EAST MAIN STREET - Active 304 EAST MAIN STREET BROWNSVILLE, TN 38012-4127, US</t>
  </si>
  <si>
    <t>BROWNSVILLE</t>
  </si>
  <si>
    <t>BACKROOM / Door(s) / Interior Door / Damaged  / What type of damage occurred?: Vandalism / The bathroom doors have holes punched through them. The Women's and Men's both need replaced. Currently they are a wooden veneer door.</t>
  </si>
  <si>
    <t>Cleaning</t>
  </si>
  <si>
    <t>Floor</t>
  </si>
  <si>
    <t>Sales Floor - Requesting Floor Refurbishment / White glue is coming up from the vinyl flooring at cash wrap. Also, white glue spots in the studio that it looks like someone tracked in. Needs to be removed.</t>
  </si>
  <si>
    <t>MECOS0000018</t>
  </si>
  <si>
    <t>Midwest Motor Express</t>
  </si>
  <si>
    <t>Pipe</t>
  </si>
  <si>
    <t>Midwest Motor Express  4810 Northpark Dr. Colorado Springs, CO 80918</t>
  </si>
  <si>
    <t>COLORADO SPRINGS</t>
  </si>
  <si>
    <t>FIVE BELOW -5125 Deerfield Blvd Mason, OH 45040</t>
  </si>
  <si>
    <t>MASON</t>
  </si>
  <si>
    <t>SALES FLOOR / Doors / Doors / Door Stop Needs Repair/ Replacement / door stop opener on bottom of door is broken</t>
  </si>
  <si>
    <t>PO-91926</t>
  </si>
  <si>
    <t xml:space="preserve">US Bank-  121 W Holly St Bellingham , WA </t>
  </si>
  <si>
    <t>The detached drive-through ATM needs some painting and repair work</t>
  </si>
  <si>
    <t>Saia - HBG 80 Roadway Dr Carlisle, PA 17015</t>
  </si>
  <si>
    <t>CARLISLE</t>
  </si>
  <si>
    <t xml:space="preserve">Plumbing | Clogged Toilet / Sink / Drain
</t>
  </si>
  <si>
    <t>Saia 194 Neelytown Rd. Montgomery, NY 12549</t>
  </si>
  <si>
    <t>MONTGOMERY</t>
  </si>
  <si>
    <t>The urinals are backed up and close to overflowing</t>
  </si>
  <si>
    <t>Saia 91 Sulphur Springs Road Owego NY 13827</t>
  </si>
  <si>
    <t>OWEGO</t>
  </si>
  <si>
    <t>Toilet in the men's restroom is leaking again from the base of the toilet.</t>
  </si>
  <si>
    <t>005930 (57 - 664) 005930 - STORE - OSWEGO - NY - OSW - 339 STATE ROUTE 104 - Active 339 STATE ROUTE 104 OSWEGO, NY 13126-2911, US</t>
  </si>
  <si>
    <t>OSWEGO</t>
  </si>
  <si>
    <t xml:space="preserve">EXTERIOR BUILDING / Door(s) / Freight Door - Overhead / Water coming in through door(s) / EXTERIOR BUILDING / Door(s) / Freight Door - Overhead / Water coming in through door(s) / water is coming through underneath making it a safety issue. </t>
  </si>
  <si>
    <t>Roll-Up Door</t>
  </si>
  <si>
    <t xml:space="preserve">BACKROOM / Door(s) / Freight Door - Overhead / Track issues / Is the track causing an issue with opening or closing the store?: Yes / Dc says door is not working good. </t>
  </si>
  <si>
    <t>001109 (17 - 165) 001109 - STORE - MUNCIE - IN - MC1 - 2800 SOUTH MADISON STREET - Active 2800 SOUTH MADISON STREET MUNCIE, IN 47302-5148, US</t>
  </si>
  <si>
    <t>MUNCIE</t>
  </si>
  <si>
    <t>SHOWROOM / Door(s) / Front Door / Door closer issue / What type of issue?: Needs Adjustment / Did this resolve the issue?: No / Door swings open when windy. Closer is broken.</t>
  </si>
  <si>
    <t>006808 (27 - 660) 006808 - STORE - WINCHESTER - VA - WCH - 603 CEDAR CREEK GRADE - Active 603 CEDAR CREEK GRADE WINCHESTER, VA 22601, US</t>
  </si>
  <si>
    <t>WINCHESTER</t>
  </si>
  <si>
    <t>RESTROOM / Plumbing / Sink / Sink is damaged / Sink is coming off the wall in the men's restroom.</t>
  </si>
  <si>
    <t>LED Driver</t>
  </si>
  <si>
    <t>005614 (57 - 509) 005614 - STORE - CONCORD - NH - CR1 - 189 FISHERVILLE RD - Active 189 FISHERVILLE RD CONCORD, NH 03303-2074, US</t>
  </si>
  <si>
    <t>FISHERVILLE</t>
  </si>
  <si>
    <t>SHOWROOM / Lighting / Interior Lighting / Partial lighting outage / 2 of the LED lights (1 in the showroom and 1 in the backroom) are not working. There are 2 new LED drivers on site</t>
  </si>
  <si>
    <t>003825 (30 - 262) 003825 - STORE - OLYMPIA - WA - OLY - 1111 COOPER POINT RD SW - Active 1111 COOPER POINT RD SW STE 105 OLYMPIA, WA 98502, US</t>
  </si>
  <si>
    <t>COOPER</t>
  </si>
  <si>
    <t xml:space="preserve">EXTERIOR GROUNDS / Fence / Trash Enclosure / Repair needed / What type of damage occurred?: Standard wear and tear / the dumpster needs the lock replaced. </t>
  </si>
  <si>
    <t>005847 (51 - 201) 005847 - STORE - EVERSON - WA - EVS - 100 BLAIR DR - Active 100 BLAIR DR EVERSON, WA 98247-9501, US</t>
  </si>
  <si>
    <t>EVERSON</t>
  </si>
  <si>
    <t>EXTERIOR BUILDING / Door(s) / Front Door / Door knob issue / What type of issue?: Damaged / we have a lift to lock type door and its been catching and unable to lock/unlock correctly at times. Please  assess the door and repair as needed to restore proper locking/unlocking operation from both sides.</t>
  </si>
  <si>
    <t>001417 (68 - 327) 001417 - STORE - CORDELE - GA - CDL - 1010 EAST 16TH AVENUE - Active 1010 EAST 16TH AVENUE CORDELE, GA 31015-1538, US</t>
  </si>
  <si>
    <t>CORDELLE</t>
  </si>
  <si>
    <t>RESTROOM / Plumbing / Water Lines / Damaged / We have no water at all</t>
  </si>
  <si>
    <t>005080 (27 - 412) 005080 - STORE - HENRICO - VA - HC1 - 2906 WILLIAMSBURG ROAD - Active 2906 WILLIAMSBURG ROAD HENRICO, VA 23231-2126, US</t>
  </si>
  <si>
    <t>WILLIAMSBURG RD HENRICO</t>
  </si>
  <si>
    <t>EXTERIOR GROUNDS / Fence / Trash Enclosure / Repair needed / What type of damage occurred?: Standard wear and tear / Trash Enclosure doors get stuck on the pavement and are not aligned, so they cannot be secured or locked.</t>
  </si>
  <si>
    <t>005000 (59 - 102) 005000 - STORE - IRVINE - KY - IRV - 910 RICHMOND RD - Active 910 RICHMOND RD IRVINE, KY 40336-7230, US</t>
  </si>
  <si>
    <t>IRVINE</t>
  </si>
  <si>
    <t>BACKROOM / Door(s) / Interior Door / Damaged / What type of damage occurred?: Standard wear and tear / The door is sticking on the frame and not closing properly.</t>
  </si>
  <si>
    <t>Faucet</t>
  </si>
  <si>
    <t>001644 (18 - 493) 001644 - STORE - FULTONDALE - AL - FDL - 301 WALKER CHAPEL PLAZA - Active 301 WALKER CHAPEL PLAZA FULTONDALE, AL 35068-3400, US</t>
  </si>
  <si>
    <t>FULTONDALE</t>
  </si>
  <si>
    <t>BACKROOM / Plumbing / Hot Water Heater / No hot water / Knob is broken on sink, Please repair or replace the faucet, please use a similar style faucet if replaced.</t>
  </si>
  <si>
    <t>002227 (72 - 599) 002227 - STORE - TROTWOOD - OH - TWD - 3970-B SALEM AVENUE - Active 3970-B SALEM AVENUE TROTWOOD, OH 45406-1532, US</t>
  </si>
  <si>
    <t>TROTWOOD</t>
  </si>
  <si>
    <t xml:space="preserve"> BACKROOM / Door(s) / Freight Door - Overhead / Lock failure / Is the lock causing an issue with opening or closing the store?: Yes / OH door cannot be locked; slide bolt does not function properly.</t>
  </si>
  <si>
    <t>006718 (57 - 566) 006718 - STORE - ENDICOTT - NY - EDC - 209 GARFIELD AVE - Active 209 GARFIELD AVE ENDICOTT, NY 13760, US</t>
  </si>
  <si>
    <t>ENDICOTT</t>
  </si>
  <si>
    <t>SHOWROOM / Lighting / Interior Lighting / Partial lighting outage / Store has Three 8' LED outages in the showroom and Three failing 8 ' LED drivers in the back room. There are 6 new 8' LED drivers on site.</t>
  </si>
  <si>
    <t>Clean Up</t>
  </si>
  <si>
    <t>006858 (12 - 540) 006858 - STORE - LYLES - TN - LYL - 9501 HIGHWAY 46 - Active 9501 HIGHWAY 46 LYLES, TN 37098, US</t>
  </si>
  <si>
    <t>LYLES</t>
  </si>
  <si>
    <t>EXTERIOR GROUNDS / Landscaping / Landscaping / Grounds clean up / Retention pond and area around needs cleaned up.</t>
  </si>
  <si>
    <t>002517 (51 - 646) 002517 - STORE - MOSES LAKE - WA - MSL - 826 STRATFORD ROAD - Active 826 STRATFORD ROAD MOSES LAKE, WA 98837-1512, US</t>
  </si>
  <si>
    <t>MOSES LAKE</t>
  </si>
  <si>
    <t>EXTERIOR GROUNDS / Lighting / Pole Lighting / Complete lighting outage / Is the outage contained to a singular pole, or the entire parking lot?: Singular Pole / Parking lot light has stopped working, possibly due to a vehicle collision.</t>
  </si>
  <si>
    <t>Gas Leaking</t>
  </si>
  <si>
    <t>006709 (58 - 665) 006709 - STORE - NEWBURGH - NY - NB1 - 1401 ROUTE 300 - Active 1401 ROUTE 300 Ste A100 NEWBURGH, NY 12550, US</t>
  </si>
  <si>
    <t>NEWBURGH</t>
  </si>
  <si>
    <t>EXTERIOR BUILDING / Plumbing / Natural Gas/Propane System / Violation received / Has the violation already been resolved prior to receiving the notice?: No / Is there a fine associated with the violations?: No / EXTERIOR BUILDING / Plumbing / Natural Gas/Propane System / Violation received / Has the violation already been resolved prior to receiving the notice?: No / Is there a fine associated with the violations?: No</t>
  </si>
  <si>
    <t>Lock lever</t>
  </si>
  <si>
    <t>004656 (69 - 648) 004656 - STORE - HANCEVILLE - AL - HNC - 836 MAIN STREET NE - Active 836 MAIN STREET NE HANCEVILLE, AL 35077-5461, US</t>
  </si>
  <si>
    <t>HANCEVILLE</t>
  </si>
  <si>
    <t>SHOWROOM / Door(s) / Front Door / Door knob issue / What type of issue?: Damaged / Front door will not lock. The lever in the lock will not move at all. Please repair the door lock lever.</t>
  </si>
  <si>
    <t>005957 (57 - 566) 005957 - STORE - CHITTENANGO - NY - CGO - 703 E GENESEE ST - Active 703 E GENESEE ST CHITTENANGO, NY 13037-1329, US</t>
  </si>
  <si>
    <t>CHITTENANGO</t>
  </si>
  <si>
    <t>EXTERIOR BUILDING / Door(s) / Front Door / Damaged  / What type of damage occurred?: Storm / Piano hinge holding door coming apart from door frame on building, due to wind damage. Please assess and repair as needed to restore proper door operation and hinge mounting. Please also add a wind chain to this door.</t>
  </si>
  <si>
    <t>Light Switch</t>
  </si>
  <si>
    <t>005244 (58 - 351) 005244 - STORE - KILLINGLY - CT - KLY - 753 HARTFORD PIKE - Active 753 HARTFORD PIKE KILLINGLY, CT 06241-1715, US</t>
  </si>
  <si>
    <t>KILLINGLY</t>
  </si>
  <si>
    <t>OFFICE/TRAINING ROOM / Electrical / Light Switch(s) / Light switch(s) not working / switch is not clicking when we walk into the office and lights are not turning on.</t>
  </si>
  <si>
    <t>003997 (42 - 333) 003997 - STORE - SALEM - OH - SLM - 2216 E STATE ST - Active 2216 E STATE ST SALEM, OH 44460-2559, US</t>
  </si>
  <si>
    <t xml:space="preserve">RESTROOM / Plumbing / Toilet/Urinal / Clogged - Entire Bathroom / Both restrooms are clogged again. Please assess and repair as needed to restore proper plumbing operation. </t>
  </si>
  <si>
    <t>Urinal</t>
  </si>
  <si>
    <t>RESTROOM / Plumbing / Toilet/Urinal / Damaged / Urinal in Men's Restroom likely has a bad value in handle. When used, the water does not stop.</t>
  </si>
  <si>
    <t>Troubleshoot</t>
  </si>
  <si>
    <t>006889 (27 - ) 006889 - STORE - FREDERICKSBURG - VA - FB5 - 200 CENTREPOINT PKWY - Active 200 CENTREPOINT PKWY FREDERICKSBURG, VA 22406, US</t>
  </si>
  <si>
    <t>FREDERICKSBURG</t>
  </si>
  <si>
    <t>BACKROOM / Electrical / Electrical / Partial outage / This will be to inspect the ems for comm loss.</t>
  </si>
  <si>
    <t>005562 (56 - 636) 005562 - STORE - SAINT ALBANS - WV - SAS - 25 MACCORKLE AVE SW - Active 25 MACCORKLE AVE SW SAINT ALBANS, WV 25177-9612, US</t>
  </si>
  <si>
    <t>SAINT ALBANS</t>
  </si>
  <si>
    <t>BACKROOM / Door(s) / Emergency Door / Lock failure / Is the lock causing an issue with opening or closing the store?: No / Lock on the back door by the hub area will not lock.</t>
  </si>
  <si>
    <t>002972 (47 - 581) 002972 - STORE - WINNEMUCCA - NV - WIN - 942 WEST WINNEMUCCA BLVD - Active 942 WEST WINNEMUCCA BLVD WINNEMUCCA, NV 89445-3629, US</t>
  </si>
  <si>
    <t>WINNEMUCCA</t>
  </si>
  <si>
    <t xml:space="preserve">EXTERIOR BUILDING / Door(s) / Front Door / Lock failure / Is the lock causing an issue with opening or closing the store?: Yes / door lock broken. Please repair. If lock cylinder needs replaced, Please Key to match existing keys. </t>
  </si>
  <si>
    <t>Partial outage</t>
  </si>
  <si>
    <t>005733 (58 - 353) 005733 - RELOCATION - BROCKTON - MA - BC2 - 683 BELMONT ST - Active 683 BELMONT ST BROCKTON, MA 02301, US</t>
  </si>
  <si>
    <t>BELMONT ST BROCKTON</t>
  </si>
  <si>
    <t>BACKROOM / Lighting / Interior Lighting / Partial lighting outage// interior back room lights to dim, hard to see - approx 10 aisles affected.  Please assess dimmer switches/power packs for source of dimming,  and  help troubleshoot// We also need to know if our wiring is connected to and being affected by work being done in the vacant space to the left of our store</t>
  </si>
  <si>
    <t>002250 (13 - 414) 002250 - STORE - BIG STONE GAP - VA - BSG - 414 EAST 5TH STREET NORTH - Active 414 EAST 5TH STREET NORTH BIG STONE GAP, VA 24219-2310, US</t>
  </si>
  <si>
    <t>BIG STONE GAP</t>
  </si>
  <si>
    <t>HQ USE / HQ USE - Electrical / Counters / Counter Exchange / Please  help with any power issues that may arise while converting the counters.</t>
  </si>
  <si>
    <t>004734 (38 - 389) 004734 - STORE - FARMERSVILLE - CA - FVL - 1409 N FARMERSVILLE BLVD - Active 1409 N FARMERSVILLE BLVD FARMERSVILLE, CA 93223-1047, US</t>
  </si>
  <si>
    <t>FARMSVILLE</t>
  </si>
  <si>
    <t>EXTERIOR BUILDING / Lighting / Flood/Spot Light/Wall Pack,Freight Door Light / Complete lighting outage / Which light has an outage?: Spot Light / Is the outage contained to a light, or all of them?: Singular / front parking light</t>
  </si>
  <si>
    <t>Ceiling Tiles</t>
  </si>
  <si>
    <t>005550 (50 - 491) 005550 - STORE - LEOMINSTER - MA - LR1 - 880 CENTRAL ST - Active 880 CENTRAL ST LEOMINSTER, MA 01453-4802, US</t>
  </si>
  <si>
    <t>LEOMISTER</t>
  </si>
  <si>
    <t xml:space="preserve">SHOWROOM / Ceiling / Ceiling / Damaged ceiling / Store has a new case of ceiling tiles sent at the store, and needs 3 replacements installed. </t>
  </si>
  <si>
    <t>005575 (30 - 299) 005575 - STORE - TACOMA - WA - TC9 - 9910 PACIFIC AVE S - Active 9910 PACIFIC AVE S TACOMA, WA 98444-6541, US</t>
  </si>
  <si>
    <t>TACOMA</t>
  </si>
  <si>
    <t>EXTERIOR BUILDING / Landscaping / Landscaping / Grounds clean up / A significant amount of large debris/garbage discarded and piled up around the trash enclosure in rear of store.</t>
  </si>
  <si>
    <t>HARRISBURG PIKE COLUMBS</t>
  </si>
  <si>
    <t>The left side door is broke and laying on the ground. Please assess and repair as needed to restore secure mounting and proper operation.</t>
  </si>
  <si>
    <t>February 2026 KPI Dashboard</t>
  </si>
  <si>
    <t>February 2026</t>
  </si>
  <si>
    <t>001016 (13 - 328) 001016 - STORE - KNOXVILLE - TN - KX2 - 3408 WESTERN AVENUE - Active 3408 WESTERN AVENUE KNOXVILLE, TN 37921-1632, US</t>
  </si>
  <si>
    <t>KNOXVILLE</t>
  </si>
  <si>
    <t>RESTROOM / Electrical / Electrical / Partial outage / Lights in bathroom and office are still fluorescent. Please  have these switched to LEDs.</t>
  </si>
  <si>
    <t>005099 (27 - 412) 005099 - STORE - RICHMOND - VA - RI5 - 10401 MIDLOTHIAN TURNPIKE - Active 10401 MIDLOTHIAN TURNPIKE RICHMOND, VA 23235-4407, US</t>
  </si>
  <si>
    <t>RICHMOND</t>
  </si>
  <si>
    <t xml:space="preserve">SHOWROOM / Door(s) / Front Door / Damaged/ What type of damage occurred?: Standard wear and tear . Some pieces of the door are coming off and the door may not be secure-able for the night. You can see through </t>
  </si>
  <si>
    <t xml:space="preserve">freight door repair </t>
  </si>
  <si>
    <t>004535 (50 - 352) 004535 - STORE - SOUTH PORTLAND - ME - SPT - 189 WATERMAN DRIVE - Active 189 WATERMAN DRIVE SOUTH PORTLAND, ME 04106-3632, US</t>
  </si>
  <si>
    <t>PORTLAND</t>
  </si>
  <si>
    <t>BACKROOM / Door(s) / Freight Door - Non-Overhead / Door closer issue / What type of issue?: Damaged / Door closer came apart. Please assess and repair/replace as needed to restore proper operati</t>
  </si>
  <si>
    <t>006589 (63 - 471) 006589 - STORE - OVIEDO - FL - OV2 - 2953 ALAFAYA TRAIL - Active 2953 ALAFAYA TRAIL OVIEDO, FL 32765, US</t>
  </si>
  <si>
    <t>OVIEDO</t>
  </si>
  <si>
    <t>BACKROOM / Lighting / Interior Lighting / Complete lighting outage / concerning the backroom where the DC driver drops off the pallet. there is no lighting and the DC driver cannot see when dropping off the pallet. need some sort of lighting for him. it is pitch black until after 0630. requesting there be atleast one light on so he can see</t>
  </si>
  <si>
    <t>Completion Rate</t>
  </si>
  <si>
    <t>Water line</t>
  </si>
  <si>
    <t>RESTROOM / Plumbing / Water Lines / Frozen / RESTROOM / Plumbing / Water Lines / Frozen / water line frozen no water for toilets or fountains. Please assess the water lines, and repair as needed to thaw them to restore water service to the store.</t>
  </si>
  <si>
    <t>Billed Rate</t>
  </si>
  <si>
    <t>Push Bar</t>
  </si>
  <si>
    <t>001617 (26 - 567) 001617 - STORE - COLUMBIA - SC - C03 - 6407 TWO NOTCH ROAD - Active 6407 TWO NOTCH ROAD COLUMBIA, SC 29223-7434, US</t>
  </si>
  <si>
    <t>COLUMBIA</t>
  </si>
  <si>
    <t>BACKROOM / Door(s) / Freight Door - Non-Overhead / Panic bar failure / Is this a security Issue?: No / Cannot lock panic bar in with hex key. Door locks every time it's closed. Please repair the push bar and test.</t>
  </si>
  <si>
    <t>Cancelled Rate</t>
  </si>
  <si>
    <t>SHOWROOM / Electrical / Electrical / Partial outage / their open sign does not work,  they cannot reach the plug to test out due to ceilings being so high.  bring a tall ladder</t>
  </si>
  <si>
    <t>003599 (47 - 230) 003599 - STORE - FERNLEY - NV - FER - 255 US HIGHWAY 95A NORTH - Active 255 US HIGHWAY 95A NORTH FERNLEY, NV 89408-7634, US</t>
  </si>
  <si>
    <t>FERNLEY</t>
  </si>
  <si>
    <t>RESTROOM / Plumbing / Sink / Sink is leaking / RESTROOM / Plumbing / Sink / Sink is leaking / Water drips from the hot water side of the faucet and wont stop even when the water is off and now the water pressure is very low after the previous repair and the cold water is leaking.</t>
  </si>
  <si>
    <t>005523 (56 - 636) 005523 - STORE - HURRICANE - WV - HCN - 3820 TEAYS VALLEY RD - Active 3820 TEAYS VALLEY RD HURRICANE, WV 25526-9720, US</t>
  </si>
  <si>
    <t>VALLEY RD HURRICANE</t>
  </si>
  <si>
    <t>EXTERIOR BUILDING / Fence / Trash Enclosure / Repair needed / What type of damage occurred?: Standard wear and tear / SM at conference states trash enclose door needs to be replaced with something sturdier/more durable.</t>
  </si>
  <si>
    <t>SHOWROOM / Door(s) / Front Door / Door closer issue / What type of issue?: Needs Adjustment / Did this resolve the issue?: No / Door closer was replaced, but door continues to trigger alarm services after hours and swings open during business hours when windy.</t>
  </si>
  <si>
    <t>004964 (58 - 630) 004964 - STORE - WETHERSFIELD - CT - WTD - 115 SILAS DEANE HWY - Active 115 SILAS DEANE HWY WETHERSFIELD, CT 06109-1255, US</t>
  </si>
  <si>
    <t>WETHESFEILD</t>
  </si>
  <si>
    <t xml:space="preserve">RESTROOM / Plumbing / Toilet/Urinal / Clogged - Entire Bathroom / when flushing the water comes up to the rim take long to go back down. Please assess and repair as needed to restore proper plumbing operation. </t>
  </si>
  <si>
    <t>003934 (27 - 412) 003934 - RELOCATION - HENRICO - VA - HC2 - 4024 GLENSIDE DR - Active 4024 GLENSIDE DR HENRICO, VA 23228-4102, US</t>
  </si>
  <si>
    <t>GLENSIDE DR HENRICO</t>
  </si>
  <si>
    <t>EXTERIOR GROUNDS / Fence / Trash Enclosure / Repair needed / What type of damage occurred?: Standard wear and tear / Store needs a latch installed on the Trash Enclosure.</t>
  </si>
  <si>
    <t>BACKROOM / Plumbing / Mop Sink / Sink is leaking / BACKROOM / Plumbing / Mop Sink / Sink is leaking / Please investigate and repair the leaking Mop sink faucet, it is leaking and cannot be stopped. * Faucet is beyond repair and needs replaced.</t>
  </si>
  <si>
    <t>006859 (57 - 675) 006859 - STORE - BUFFALO - NY - BF2 - 1700 KENMORE AVE - Active 1700 KENMORE AVE BUFFALO, NY 14216, US</t>
  </si>
  <si>
    <t xml:space="preserve">RESTROOM / Plumbing / Toilet/Urinal / Damaged / Men's toilet  not flushing something wrong with the knob. </t>
  </si>
  <si>
    <t>000914 (69 - 648) 000914 - STORE - ATHENS - AL - ATN - 910 HIGHWAY 72 EAST - Active 910 HIGHWAY 72 EAST ATHENS, AL 35611-4318, US</t>
  </si>
  <si>
    <t>EAST ATHENS</t>
  </si>
  <si>
    <t>RESTROOM / Plumbing / Water Lines / Frozen / water lines froze cannot wash hands cannot flush toilets. Please thaw out the lines and investigate for leaks.</t>
  </si>
  <si>
    <t>Fixtures</t>
  </si>
  <si>
    <t>006658 (55 - 539) 006658 - STORE - NEW ELLENTON - SC - NET - 631 MAIN ST - Active 631 MAIN ST NEW ELLENTON, SC 29809, US</t>
  </si>
  <si>
    <t>ELLENTON</t>
  </si>
  <si>
    <t>SHOWROOM / Lighting / Interior Lighting / Partial lighting outage / we have two seperate light fixtures that need repair and is completely out and on has half of a light working.</t>
  </si>
  <si>
    <t>005157 (18 - 634) 005157 - STORE - JEMISON - AL - JMN - 24744 US HWY 31 - Active 24744 US HWY 31 JEMISON, AL 35085-4428, US</t>
  </si>
  <si>
    <t>JEMISON</t>
  </si>
  <si>
    <t xml:space="preserve">RESTROOM / Plumbing / Toilet/Urinal / Leaking / Is this a safety risk to Team Members and/or customers?: No / men's toilet constantly runs. Please repair the toilet. </t>
  </si>
  <si>
    <t>Weather stripping</t>
  </si>
  <si>
    <t>001026 (54 - 106) 001026 - STORE - MEMPHIS - TN - MP7 - 3320 SUMMER AVENUE - Active 3320 SUMMER AVENUE MEMPHIS, TN 38122-5135, US</t>
  </si>
  <si>
    <t>MEMPHIS</t>
  </si>
  <si>
    <t>EXTERIOR BUILDING / Door(s) / Emergency Door / Weather stripping / Needs Replaced / Store reports that multiple door need weather stripping and door sweeps. Please assess and repair as needed to seal all doors.</t>
  </si>
  <si>
    <t>Brick</t>
  </si>
  <si>
    <t>002285 (55 - 140) 002285 - STORE - COLUMBUS - GA - CM3 - 1606 WYNNTON ROAD - Active 1606 WYNNTON ROAD COLUMBUS, GA 31906-2926, US</t>
  </si>
  <si>
    <t>EXTERIOR BUILDING / Wall(s) / Brick / Damaged Brick / Is this a safety risk to Team Members and/or customers?: No / DC driver hit the brick and did minimal damage, needs repair</t>
  </si>
  <si>
    <t>003173 (34 - 243) 003173 - STORE - SAN DIEGO - CA - S12 - 8704 LAKE MURRAY BLVD - Active 8704 LAKE MURRAY BLVD SAN DIEGO, CA 92119-2701, US</t>
  </si>
  <si>
    <t>SAN DIEGO</t>
  </si>
  <si>
    <t>BACKROOM / Electrical / Outlet(s) / Additional Needed / Listed above. Two new four gang boxes need to be run with each having its own dedicated circuits. One for our break room area and second for the fire system new alarm they are installing.</t>
  </si>
  <si>
    <t>Battery Rack Drywall</t>
  </si>
  <si>
    <t>003984 (56 - 417) 003984 - STORE - YOUNGSTOWN - OH - YG2 - 3489A BELMONT AVE - Active 3489A BELMONT AVE YOUNGSTOWN, OH 44505-1807, US</t>
  </si>
  <si>
    <t>YOUNGSTOWN</t>
  </si>
  <si>
    <t>HQ USE / HQ USE - Wall(s) / Showroom / Battery Rack Drywall Demo / Need at first availability to demo and finish of 4ft of wall for battery rack expansion. Electrical on wall needs to be moved first</t>
  </si>
  <si>
    <t xml:space="preserve">SHOWROOM / Lighting / Interior Lighting / Partial lighting outage / 3-ft section of lighting is out in the interior. </t>
  </si>
  <si>
    <t>002752 (32 - 436) 002752 - RELOCATION - THATCHER - AZ - THA - 2215 W US HIGHWAY 70 - Active 2215 W US HIGHWAY 70 THATCHER, AZ 85552, US</t>
  </si>
  <si>
    <t>THATCHER</t>
  </si>
  <si>
    <t>BACKROOM / Plumbing / Mop Sink / Sink is leaking / water valve to turn on and off is dripping.</t>
  </si>
  <si>
    <t>Door closer</t>
  </si>
  <si>
    <t>005293 (56 - 622) 005293 - STORE - ETNA - PA - ENA - 727 BUTLER ST - Active 727 BUTLER ST ETNA, PA 15223-1825, US</t>
  </si>
  <si>
    <t>ETNA</t>
  </si>
  <si>
    <t>EXTERIOR BUILDING / Door(s) / Front Door / Door closer issue / What type of issue?: Damaged / the door closer is broken off from the door again.</t>
  </si>
  <si>
    <t>BACKROOM / Door(s) / Freight Door - Non-Overhead / Cannot open or close door / Store reports- one of the delivery doors (the door farthest away from the front door on the right side of the building- facing Dewey Ave.) was ripped open hard by the wind as an employee exited the building. The door and frame were tweeked in such a way that the frame has pulled away from the building slightly. The door has been pried up in order to get it closed and secured, it will be labeled as DO NOT USE, until it can be assessed.</t>
  </si>
  <si>
    <t>006297 (57 - 587) 006297 - STORE - AMSTERDAM - NY - AM1 - 4894 STATE HIGHWAY 30 - Active 4894 STATE HIGHWAY 30 AMSTERDAM, NY 12010-7515, US</t>
  </si>
  <si>
    <t>AMSTERDAM</t>
  </si>
  <si>
    <t xml:space="preserve">SHOWROOM / Door(s) / Front Door / Door closer issue / What type of issue?: Leaking / Both my front doors are leaking oil out of the closing piston. Please assess the 2 front door closers, repair/replace as needed to restore proper operation. </t>
  </si>
  <si>
    <t>Water Fountain</t>
  </si>
  <si>
    <t>003937 (76 - 269) 003937 - STORE - BENSON - AZ - BSN - 1005 W 4TH ST - Active 1005 W 4TH ST BENSON, AZ 85602-6440, US</t>
  </si>
  <si>
    <t>BENSON</t>
  </si>
  <si>
    <t>BACKROOM / Plumbing / Water Fountain / Damaged/No Cool / pressure regulator in top water fountain is bad; need replacement of regulator or new fountain needed. Upper fountain not giving controlled flow of water.</t>
  </si>
  <si>
    <t>Tuesday 2/2/2026</t>
  </si>
  <si>
    <t>006335 (12 - 606) 006335 - STORE - GALLATIN - TN - GT2 - 447 E BROADWAY - Active 447 E BROADWAY GALLATIN, TN 37066, US</t>
  </si>
  <si>
    <t>GALLATIN</t>
  </si>
  <si>
    <t>EXTERIOR BUILDING / Door(s) / Freight Door - Non-Overhead / Damaged  / What type of damage occurred?: Vehicle / Was the vehicle damage caused by a customer or employee?: Employee / Screw heads sheared off on continuous hinge and frame. Door still opens and closes. Please assess and repair as needed to re-secure the hinge to the frame and door.</t>
  </si>
  <si>
    <t>WOFM0000087686</t>
  </si>
  <si>
    <t>Romeo</t>
  </si>
  <si>
    <t>Fidelity Investments</t>
  </si>
  <si>
    <t>220 Boylston Street, Newton, MA, 02467-2005</t>
  </si>
  <si>
    <t>NEWTON</t>
  </si>
  <si>
    <t xml:space="preserve">Building Interior:Locks/Keys:Lock Broken/Unable to Secure:BL at IC 324 Chestnut Hill, MA is
</t>
  </si>
  <si>
    <t>Ocean State Job Lot</t>
  </si>
  <si>
    <t>Generator Inspection</t>
  </si>
  <si>
    <t>Ocean State Job Lot- 601-603 Nashua St. Milford, NH 03055</t>
  </si>
  <si>
    <t>NASHUA MILFORD</t>
  </si>
  <si>
    <t>Annual Generator Inspection</t>
  </si>
  <si>
    <t xml:space="preserve">FVB - Spokane Valley, WA 13806 E Indiana Avenue
</t>
  </si>
  <si>
    <t xml:space="preserve">RESTROOMS / Plumbing / Hand Sink / Draining Slowly / /The bathroom sink is very slow in draining and needs cleaned.
</t>
  </si>
  <si>
    <t>Five Below, 5555 Glenway Ave, Cincinnati, OH 45238, US</t>
  </si>
  <si>
    <t>CINCINNATI</t>
  </si>
  <si>
    <t xml:space="preserve">RESTROOMS / Walls / Interior Walls / Damage, Customer Facing / Mens restroom urinal privacy divider is broke needs to be replaced or repaired </t>
  </si>
  <si>
    <t>WOFM0000089045</t>
  </si>
  <si>
    <t>Starbucks</t>
  </si>
  <si>
    <t>starbucks coffee-3015 16th Street, Bedford, IN, 47421 - 3511</t>
  </si>
  <si>
    <t>BEDFORD</t>
  </si>
  <si>
    <t xml:space="preserve">Electrical - Interior
</t>
  </si>
  <si>
    <t>Servo-38655</t>
  </si>
  <si>
    <t>The Church of Jesus Christ of Latter-day Saints</t>
  </si>
  <si>
    <t>The Church of Jesus Christ- Oxford, MS 3501 South Lamar Boulevard Oxford MS</t>
  </si>
  <si>
    <t>OXFORD</t>
  </si>
  <si>
    <t>Servo-100135</t>
  </si>
  <si>
    <t>General Contractor</t>
  </si>
  <si>
    <t>Servo-99151</t>
  </si>
  <si>
    <t>Patrick Carter</t>
  </si>
  <si>
    <t>US Bank- Sequim, WA 101 W Washington St Sequim</t>
  </si>
  <si>
    <t xml:space="preserve">SEQUIM </t>
  </si>
  <si>
    <t>Servo-99222</t>
  </si>
  <si>
    <t>US Bank-409 S Whitcomb Ave, Tonasket ,WA</t>
  </si>
  <si>
    <t>TONASKET</t>
  </si>
  <si>
    <t>Servo-98804</t>
  </si>
  <si>
    <t>ABM</t>
  </si>
  <si>
    <t>ABM, 8830 Biggs Ford Road Walkersville, MD 21793.</t>
  </si>
  <si>
    <t>WALKERSVILLE</t>
  </si>
  <si>
    <t>MD</t>
  </si>
  <si>
    <t>Servo-99296</t>
  </si>
  <si>
    <t>MIGRANT GLASS</t>
  </si>
  <si>
    <t>MIGRANT GLASS 1261 Highland Rd. Unit 8 Macedonia Summit OH 44056</t>
  </si>
  <si>
    <t>MACEDONIA</t>
  </si>
  <si>
    <t>Servo-99404</t>
  </si>
  <si>
    <t>Window Glass</t>
  </si>
  <si>
    <t>ABM - 8830 Biggs Ford Road Walkersville, MD 21793</t>
  </si>
  <si>
    <t>Servo-99722</t>
  </si>
  <si>
    <t>Parking lot</t>
  </si>
  <si>
    <t>US Bank- 250 N Main St Mount Angel, OR</t>
  </si>
  <si>
    <t>ST MOUNT ANGEL</t>
  </si>
  <si>
    <t>OR</t>
  </si>
  <si>
    <t>Servo-99695</t>
  </si>
  <si>
    <t>Windows</t>
  </si>
  <si>
    <t>US Bank- 900 3rd St NW Great Falls, MT</t>
  </si>
  <si>
    <t xml:space="preserve">PO-92605 </t>
  </si>
  <si>
    <t>The Church of Jesus Christ</t>
  </si>
  <si>
    <t>Patching</t>
  </si>
  <si>
    <t>The Church of Jesus Christ- Paw Paw, MI 52441 County Road 665 Paw Paw</t>
  </si>
  <si>
    <t>Country Rd</t>
  </si>
  <si>
    <t>MI</t>
  </si>
  <si>
    <t xml:space="preserve">Please patch up the area in the driveway entrance - we do not want to mill and patch it - just only patch up the area for the winter for repairs next spring season. </t>
  </si>
  <si>
    <t>Servo-98936</t>
  </si>
  <si>
    <t>Carpet and Tile</t>
  </si>
  <si>
    <t>ABM- Junction City, KS 1725 Old Highway 40 Junction City</t>
  </si>
  <si>
    <t>JUNCTION</t>
  </si>
  <si>
    <t>KS</t>
  </si>
  <si>
    <t>We have a requirement for carpet and tile installation and repair</t>
  </si>
  <si>
    <t>PO-97353</t>
  </si>
  <si>
    <t>Hose Bibb</t>
  </si>
  <si>
    <t>The Church of Jesus Christ-  5520 Zeigler Boulevard Mobile AL 36608</t>
  </si>
  <si>
    <t>ZEIGLER BLVD</t>
  </si>
  <si>
    <t>Replace Hose bibb with a new, professional grade hose bibb</t>
  </si>
  <si>
    <t>Walls</t>
  </si>
  <si>
    <t>454 Ohio Pike #54, Cincinnati, OH 45255, United States</t>
  </si>
  <si>
    <t>RESTROOMS / Walls / Interior Walls / Touch Up Painting / Graffiti on walls and fixtures</t>
  </si>
  <si>
    <t>RESTROOMS / Plumbing / Toilet / Clogged/ Overflowing / Customer overflowed the toilet while the toilet water keeps rising. We don’t unfortunately have a plunger.</t>
  </si>
  <si>
    <t>SAIA Freight</t>
  </si>
  <si>
    <t>Appliances</t>
  </si>
  <si>
    <t>Water filtration system</t>
  </si>
  <si>
    <t>SAIA - NWK 580 Delancy St,  Newark, NJ 07105</t>
  </si>
  <si>
    <t>Newark</t>
  </si>
  <si>
    <t>NJ</t>
  </si>
  <si>
    <t xml:space="preserve">Appliance | Other Appliance Repair
</t>
  </si>
  <si>
    <t>SAIA Freight - 10855 Market St. N Lima, OH 44452</t>
  </si>
  <si>
    <t>NORTH LIMA</t>
  </si>
  <si>
    <t>ice machine in drivers' room is leaking onto the floor, the pipe connecting it from the back looks like it is also leaking. may need to have a drain installed instead of having pipe into wall.</t>
  </si>
  <si>
    <t>O'reilly Auto Parts</t>
  </si>
  <si>
    <t>parking stop</t>
  </si>
  <si>
    <t>O'Reilly Auto Parts 421 EAST BOXELDER GILLETTE, WY 82718</t>
  </si>
  <si>
    <t>BOXELDER GILLETTE</t>
  </si>
  <si>
    <t>WY</t>
  </si>
  <si>
    <t xml:space="preserve">One of the parking stops for the parking lot is broken. Remove existing parking stop and replace with new. Dispose of old off site. </t>
  </si>
  <si>
    <t>Ocean State Job Lot - 601-603 Nashua St. Milford, NH 03055</t>
  </si>
  <si>
    <t>Receptacle</t>
  </si>
  <si>
    <t>SAIA Freight NHC- 148 Boston Post Road Orange, CT 6477</t>
  </si>
  <si>
    <t>BOSTON POST Rd</t>
  </si>
  <si>
    <t>Electrical conduit dangling from wall with live receptacle. Requesting to remove receptacle and cap wiring on ceiling to prevent future shocks or injuries.</t>
  </si>
  <si>
    <t>Ocean State Job Lot- 30 Commercial St. Medford, MA 02155</t>
  </si>
  <si>
    <t>MEDFORD</t>
  </si>
  <si>
    <t xml:space="preserve"> Annual Generator Inspection</t>
  </si>
  <si>
    <t>SAIA Freight - CLV 2920 Brecksville Road Richfield, OH 44286</t>
  </si>
  <si>
    <t>BRECKSVILLE</t>
  </si>
  <si>
    <t xml:space="preserve">Plumbing | Repair Toilet / Sink / Drain 
</t>
  </si>
  <si>
    <t>O'Reilly Auto Parts</t>
  </si>
  <si>
    <t>Wall repair</t>
  </si>
  <si>
    <t>O’Reilly Auto Parts - 2021 East Yellowstone Hwy Casper, WY 82609</t>
  </si>
  <si>
    <t>CASPER</t>
  </si>
  <si>
    <t xml:space="preserve">Water coming in through the wall / Water is seeping through the wall underneath coolant rack as well as the threshold of the front door when raining. </t>
  </si>
  <si>
    <t>SAIA Freight - HBG 80 Roadway Drive Carlisle, PA 17015</t>
  </si>
  <si>
    <t xml:space="preserve"> Men's toilet in front office is clogged.</t>
  </si>
  <si>
    <t>SAIA Freight - NWB 194 Neelytown Rd. Montgomery, NY 12549</t>
  </si>
  <si>
    <t>One toilet stall in men's bathroom in main NWB office building located downstairs is backed up/not flushing and in need of repair. Stall has been placed out of service while repairs are being awaited.</t>
  </si>
  <si>
    <t>SAIA Freight - PVD 1146 &amp; 1170 S. Street Wrentham, MA 02093</t>
  </si>
  <si>
    <t>WRENTHAM</t>
  </si>
  <si>
    <t>The sink in the men's room in the main office is not draining properly.</t>
  </si>
  <si>
    <t xml:space="preserve">SAIA Freight - ABY 4315 Albany St Colonie, NY 12205 </t>
  </si>
  <si>
    <t>ALBANY</t>
  </si>
  <si>
    <t xml:space="preserve">Warehouse/Dock - Electrical outlet that plugs pallet jacks is cracked and needs to be replaced. </t>
  </si>
  <si>
    <t>Baler</t>
  </si>
  <si>
    <t>Ocean State Job Lot 95 Lincolnville Ave. Belfast, ME 04915</t>
  </si>
  <si>
    <t>LINCOLNVILLE</t>
  </si>
  <si>
    <t>Reassess baler after recent repair</t>
  </si>
  <si>
    <t>Trees</t>
  </si>
  <si>
    <t>WASHINGTON</t>
  </si>
  <si>
    <t xml:space="preserve">RESTROOM / Plumbing / Floor Drains / Clogged / When we flush the toilets in the women's room the water / sewerage comes up thru the floor drain. Please assess and repair as needed to restore proper plumbing operation. </t>
  </si>
  <si>
    <t>Floor Drains</t>
  </si>
  <si>
    <t>005554 (58 - 571) 005554 - STORE - FALL RIVER - MA - FR1 - 171 RHODE ISLAND AVE - Active 171 RHODE ISLAND AVE FALL RIVER, MA 02724-3515, US</t>
  </si>
  <si>
    <t>RHODE ISLAND</t>
  </si>
  <si>
    <t>006270 (57 - 675) 006270 - STORE - TONAWANDA - NY - TW1 - 2309 EGGERT RD - Active 2309 EGGERT RD Ste 2 TONAWANDA, NY 14150-9200, US</t>
  </si>
  <si>
    <t>TONAWANDA</t>
  </si>
  <si>
    <t>RESTROOM / Plumbing / Water Faucet/Hydrant/Spigot / Damaged / Men's bathroom sink next to Urinal keeps losing water pressure on hot side, Sometimes works, then completely stops daily. Cold side hasn't any water pressure at all.</t>
  </si>
  <si>
    <t>RESTROOM / Plumbing / Toilet/Urinal / Clogged - Entire Bathroom / bathrooms clogged backing up through floor. Please assess and repair as needed to restore proper plumbing operation.</t>
  </si>
  <si>
    <t>004808 (72 - 303) 004808 - STORE - CAMBRIDGE - OH - CBR - 1780 SOUTHGATE PARKWAY - Active 1780 SOUTHGATE PARKWAY CAMBRIDGE, OH 43725-3024, US</t>
  </si>
  <si>
    <t>CAMBRIDGE</t>
  </si>
  <si>
    <t>RESTROOM / Plumbing / Toilet/Urinal / Damaged / Toilet broke free from floor . Not safe . Wobbles way to much to use safely.</t>
  </si>
  <si>
    <t>003207 (47 - 295) 003207 - STORE - CARSON CITY - NV - CC1 - 3479 SOUTH CARSON STREET - Active 3479 SOUTH CARSON STREET CARSON CITY, NV 89701-5526, US</t>
  </si>
  <si>
    <t>CARSON</t>
  </si>
  <si>
    <t>SHOWROOM / Door(s) / Front Door / Lock failure / Is the lock causing an issue with opening or closing the store?: Yes / Front door lock cylinder spins and does not want to lock sometimes. it still works for now but unsure for how long before it will completely fail.</t>
  </si>
  <si>
    <t>003939 (30 - 261) 003939 - STORE - PORT TOWNSEND - WA - PTW - 2223 E SIMS WAY - Active 2223 E SIMS WAY PORT TOWNSEND, WA 98368-4621, US</t>
  </si>
  <si>
    <t>TOWNSEND</t>
  </si>
  <si>
    <t>RESTROOM / Plumbing / Water Lines / Leaking / Is this a safety risk to Team Members and/or customers?: No / There is a hot water heater expansion tank that is on a platform in one of the restrooms and is leaking. It has a pretty steady drip coming from it. It was noticed last night and a mop bucket was placed under the drip. we just had to dump the mop bucket because it was full.</t>
  </si>
  <si>
    <t>006999 (33 - 375) 006999 - STORE - APTOS - CA - APT - 122 RANCHO DEL MAR - Under Const 122 RANCHO DEL MAR STE 122 APTOS, CA 95003, US</t>
  </si>
  <si>
    <t>APTOS</t>
  </si>
  <si>
    <t>RESTROOM / Plumbing / Floor Drains / Clogged / water coming out floor drains .Please clear the clog and test flow.</t>
  </si>
  <si>
    <t>005489 (12 - 156) 005489 - STORE - MURFREESBORO - TN - MR5 - 5830 LEBANON PIKE - Active 5830 LEBANON PIKE MURFREESBORO, TN 37129-7857, US</t>
  </si>
  <si>
    <t>LEBANON PIKE</t>
  </si>
  <si>
    <t>RESTROOM / Plumbing / Water Lines / Frozen / Store has frozen pipes.</t>
  </si>
  <si>
    <t>outlet installation</t>
  </si>
  <si>
    <t>003567 (31 - 392) 003567 - STORE - GALT - CA - GLT - 10370 TWIN CITIES ROAD - Active 10370 TWIN CITIES ROAD GALT, CA 95632-9043, US</t>
  </si>
  <si>
    <t>TWIN CITIES</t>
  </si>
  <si>
    <t xml:space="preserve">BACKROOM / Electrical / Outlet(s) / Additional Needed / I need a power outlet added for DFM TV screen to avoid using extension cords. Failed during LP audit.//  inspect the area and add additional 4 gang outlet and run circuit to power the area at the DFM TV. </t>
  </si>
  <si>
    <t>Gas Pipe</t>
  </si>
  <si>
    <t>003447 (33 - 390) 003447 - STORE - SAN JOSE - CA - S14 - 3489 MCKEE ROAD - Active 3489 MCKEE ROAD SAN JOSE, CA 95127-2233, US</t>
  </si>
  <si>
    <t>LED DRIVERS</t>
  </si>
  <si>
    <t>004868 (27 - 412) 004868 - STORE - MIDLOTHIAN - VA - MHN - 3601 HENDRICKS ROAD - Active 3601 HENDRICKS ROAD MIDLOTHIAN, VA 23112-7307, US</t>
  </si>
  <si>
    <t>HENDRICKS RD</t>
  </si>
  <si>
    <t>BACKROOM / Lighting / Interior Lighting / Partial lighting outage / Store has (1) 8ft fixture out.</t>
  </si>
  <si>
    <t>Hot Water</t>
  </si>
  <si>
    <t>001376 (13 - 414) 001376 - STORE - MARION - VA - MIN - 1253 NORTH MAIN STREET - Active 1253 NORTH MAIN STREET MARION, VA 24354-4311, US</t>
  </si>
  <si>
    <t>MARION</t>
  </si>
  <si>
    <t>RESTROOM / Plumbing / Hot Water Heater / No hot water / Store reports no hot water.</t>
  </si>
  <si>
    <t>RESTROOM / Plumbing / Toilet/Urinal / Leaking / Is this a safety risk to Team Members and/or customers?: Yes / Toilet backflow, biohazard/waste present all over</t>
  </si>
  <si>
    <t>002001 (68 - 437) 002001 - STORE - RINCON - GA - RCN - 214 NORTH COLUMBIA AVENUE - Active 214 NORTH COLUMBIA AVENUE RINCON, GA 31326-6808, US</t>
  </si>
  <si>
    <t>RINCON</t>
  </si>
  <si>
    <t xml:space="preserve">RESTROOM / Plumbing / Toilet/Urinal / Damaged / Needs new toilet, leaks and sprays water where tank and bowl connect. Have tightened and replaced o rings already and can not be tightened any more. Also leaks at floor under the tiles causing mildew and discoloring on the tiles. Please repair the leak. </t>
  </si>
  <si>
    <t>000902 (12 - 96) 000902 - STORE - HARTSVILLE - TN - HTV - 234 BROADWAY - Active 234 BROADWAY HARTSVILLE, TN 37074-1345, US</t>
  </si>
  <si>
    <t>HARTSVILLE</t>
  </si>
  <si>
    <t xml:space="preserve">SHOWROOM / Door(s) / Front Door / Lock failure / Is the lock causing an issue with opening or closing the store?: No /   the front showroom double doors the one that has the slide locks to lock the door is not working correctly and needs to be looked at. </t>
  </si>
  <si>
    <t>BELMONT</t>
  </si>
  <si>
    <t>HQ USE / HQ USE - Electrical / Counters / Counter Exchange / Please  help with any power issues that may arise during the retail counter exchange.</t>
  </si>
  <si>
    <t>002086 (69 - 81) 002086 - STORE - WOODBURY - TN - WDB - 301 MCMINNVILLE HIGHWAY - Active 301 MCMINNVILLE HIGHWAY WOODBURY, TN 37190-1209, US</t>
  </si>
  <si>
    <t>WOODBURY</t>
  </si>
  <si>
    <t>SHOWROOM / Lighting / Interior Lighting / Damaged / What type of damage occurred?: Standard wear and tear / There is a cover missing on a light on the showroom floor.</t>
  </si>
  <si>
    <t>006668 (47 - 581) 006668 - STORE - RENO - NV - RN8 - 5069 S MCCARRAN BLVD - Active 5069 S MCCARRAN BLVD RENO, NV 89502-6530, US</t>
  </si>
  <si>
    <t>RENO</t>
  </si>
  <si>
    <t xml:space="preserve"> SHOWROOM / Door(s) / Front Door / Damaged  / What type of damage occurred?: Standard wear and tear / front door is dragging on the bottom threshold is causing damage to the door and the bottom piece on the floor.</t>
  </si>
  <si>
    <t>003473 (66 - 217) 003473 - STORE - OAKLAND - CA - OL5 - 4240 INTERNATIONAL BLVD - Active 4240 INTERNATIONAL BLVD OAKLAND, CA 94601-4538, US</t>
  </si>
  <si>
    <t>OAKLAND</t>
  </si>
  <si>
    <t>RESTROOM / Wall(s) / Wall / Water coming in through the wall / the sink is coming from wall</t>
  </si>
  <si>
    <t>004560 (56 - 417) 004560 - STORE - CANFIELD - OH - CNF - 4337 BOARDMAN CANFIELD ROAD - Active 4337 BOARDMAN CANFIELD RD CANFIELD, OH 44406-9048, US</t>
  </si>
  <si>
    <t>CANFIELD</t>
  </si>
  <si>
    <t>SHOWROOM / Lighting / Interior Lighting / Partial lighting outage / Two 8' lights out - one by the front door and one in front of the battery rack. There are 2 new 8' LED drivers on site to repair the outages.</t>
  </si>
  <si>
    <t>004430 (62 - 468) 004430 - STORE - CONWAY - SC - CN1 - 2600 CHURCH ST - Active 2600 CHURCH ST CONWAY, SC 29526-4404, US</t>
  </si>
  <si>
    <t>CONWAY</t>
  </si>
  <si>
    <t>Door Handle</t>
  </si>
  <si>
    <t>001030 (12 - 91) 001030 - STORE - CLARKSVILLE - TN - CV2 - 1426 FORT CAMPBELL BLVD - Active 1426 FORT CAMPBELL BLVD CLARKSVILLE, TN 37042-3553, US</t>
  </si>
  <si>
    <t>CLARCKSVILLE</t>
  </si>
  <si>
    <t xml:space="preserve"> EXTERIOR BUILDING / Door(s) / Freight Door - Non-Overhead / Cannot open or close door / Door handle broke off.</t>
  </si>
  <si>
    <t>SHOWROOM / Lighting / Interior Lighting / Partial lighting outage / i have an 8' light inside the showroom flashing on and off. There is a new 8' LED driver on site to repair the outage.</t>
  </si>
  <si>
    <t>003723 (51 - 267) 003723 - STORE - YAKIMA - WA - YK5 - 1300 N 40TH AVE - Active 1300 N 40TH AVE STE 101 YAKIMA, WA 98908-9464, US</t>
  </si>
  <si>
    <t>YAKIMA</t>
  </si>
  <si>
    <t>RESTROOM / Plumbing / Toilet/Urinal / Leaking / Is this a safety risk to Team Members and/or customers?: No / the toilet wobbles and leaks from under it. the wax ring under the toilet may be broken.</t>
  </si>
  <si>
    <t>004794 (56 - 455) 004794 - STORE - MACARTHUR - WV - MRR - 1967 ROBERT C BYRD DRIVE - Active 1967 ROBERT C BYRD DRIVE MACARTHUR, WV 25801, US</t>
  </si>
  <si>
    <t>MACARTHUR</t>
  </si>
  <si>
    <t>EXTERIOR BUILDING / Door(s) / Front Door - Automatic / Damaged  / What type of damage occurred?: Standard wear and tear / Hinge bushing is broken. Door is 'rigged' for now but needs serviced. Door does secure. Please put the door on a continuous hinge</t>
  </si>
  <si>
    <t>LED light</t>
  </si>
  <si>
    <t>002521 (51 - 646) 002521 - STORE - EAST WENATCHEE - WA - EWN - 295 GRANT ROAD - Active 295 GRANT ROAD EAST WENATCHEE, WA 98802-5331, US</t>
  </si>
  <si>
    <t>WENATCHEE</t>
  </si>
  <si>
    <t>BACKROOM / Lighting / Interior Lighting / Partial lighting outage / one set of lights out / Store reports 1 8ft section(s) of LED lights are out in the backroom. I have 1 LED driver(s) that is at the store that needs changed out.</t>
  </si>
  <si>
    <t>005702 (50 - 452) 005702 - RELOCATION - MANCHESTER - NH - MC2 - 1049 S WILLOW ST - Active 1049 S WILLOW ST MANCHESTER, NH 03103-4029, US</t>
  </si>
  <si>
    <t>MANCHESTER</t>
  </si>
  <si>
    <t>BACKROOM / Lighting / Interior Lighting / Partial lighting outage / 8' section of backroom lighting inoperable, aisle 2 &amp; 3 above bay 9 (perpendicular to aisle orientation). There is a new LED driver on site to repair the outage.</t>
  </si>
  <si>
    <t>006013 (30 - 206) 006013 - STORE - KENT - WA - KT4 - 1301 W MEEKER ST - Active 1301 W MEEKER ST STE 121 KENT, WA 98032, US</t>
  </si>
  <si>
    <t>KENT</t>
  </si>
  <si>
    <t xml:space="preserve"> RESTROOM / Plumbing / Sink / Sink is leaking / faucet continues to pour water, will only shut completely off in a certain position. Needs to be replace</t>
  </si>
  <si>
    <t>001842 (27 - 313) 001842 - STORE - MARTINSVILLE - VA - MSV - 1205 MEMORIAL BLVD SOUTH - Active 1205 MEMORIAL BLVD SOUTH MARTINSVILLE, VA 24112-4806, US</t>
  </si>
  <si>
    <t>MARTINSVILLE</t>
  </si>
  <si>
    <t>BACKROOM / Plumbing / Water Lines / Damaged / Store reports no hot water.</t>
  </si>
  <si>
    <t>004511 (50 - 603) 004511 - STORE - HOULTON - ME - HTN - 125 NORTH ST - Active 125 NORTH ST HOULTON, ME 04730-1832, US</t>
  </si>
  <si>
    <t>HOULTON</t>
  </si>
  <si>
    <t xml:space="preserve">BACKROOM / Door(s) / Freight Door - Non-Overhead / Damaged  / What type of damage occurred?: Standard wear and tear / The owner of the property completed an inspection and states that the frame on the left side has come loose and should be reattached to the building. It's causing the door to drop and the latch not to line up, so the door doesn’t latch closed. Please assess and repair as needed to restore proper frame mounting and door security. </t>
  </si>
  <si>
    <t>Light switch</t>
  </si>
  <si>
    <t>SHOWROOM / Electrical / Light Switch(s) / Light switch(s) not working / Front room lights are not turning on. Light switch/electrical panel intermittently making crackling noises.</t>
  </si>
  <si>
    <t>002967 (30 - 343) 002967 - STORE - ENUMCLAW - WA - ENU - 962 ROOSEVELT AVENUE - Active 962 ROOSEVELT AVENUE ENUMCLAW, WA 98022-2924, US</t>
  </si>
  <si>
    <t>ROOSEVELT</t>
  </si>
  <si>
    <t>EXTERIOR BUILDING / Wall(s) / Wall / Water coming in through the wall / Front awning over both front doors is hanging off and damaged needs to be replaced or removed asap as it is damaged the whole front wall of the store and dont want anyone hurt if it falls.</t>
  </si>
  <si>
    <t xml:space="preserve">Outlet </t>
  </si>
  <si>
    <t>005692 (50 - 452) 005692 - RELOCATION - HOOKSETT - NH - HKS - 1339 HOOKSETT RD - Active 1339 HOOKSETT RD HOOKSETT, NH 03106-1003, US</t>
  </si>
  <si>
    <t>HOOKSETT</t>
  </si>
  <si>
    <t>SHOWROOM / Electrical / Outlet(s) / Relocate outlet / Open sign outlet needs to be tied into the showroom light timer. Please assess the outlet and wire it in to the closest showroom fixture, so the Open sign will come on/off with the main show room lights. Do not wire it to the perimeter lights in the show room, they stay on 24/7.</t>
  </si>
  <si>
    <t xml:space="preserve">Back-ups </t>
  </si>
  <si>
    <t>003503 (33 - 375) 003503 - RELOCATION - SEASIDE - CA - SEA - 1720 FREMONT BOULEVARD - Active 1720 FREMONT BOULEVARD SEASIDE, CA 93955-3609, US</t>
  </si>
  <si>
    <t>FREMONT BLVD</t>
  </si>
  <si>
    <t>Store reports back-ups are reoccurring - need permanent repair/resolution, please. Need camera footage showing linear feet &amp; slope, as well as marked layouts showing all locations of issues present. Please need repairs to ensure store's plumbing is working as needed; store currently has working restrooms.</t>
  </si>
  <si>
    <t>006231 (51 - 646) 006231 - STORE - QUINCY - WA - QUW - 124 F ST SE - Active 124 F ST SE QUINCY, WA 98848, US</t>
  </si>
  <si>
    <t>EXTERIOR GROUNDS / Fence / Trash Enclosure / Repair needed / What type of damage occurred?: Standard wear and tear / Trash enclosure is need the gate(s) repaired.</t>
  </si>
  <si>
    <t>RESTROOM / Plumbing / Toilet/Urinal / Damaged / leaking from the bottom of the toilet.</t>
  </si>
  <si>
    <t>Fire Alarm</t>
  </si>
  <si>
    <t>002884 (31 - 392) 002884 - STORE - SACRAMENTO - CA - S11 - 8158 GERBER ROAD - Active 8158 GERBER ROAD SACRAMENTO, CA 95828-4402, US</t>
  </si>
  <si>
    <t>SACRAMENTO</t>
  </si>
  <si>
    <t>EXTERIOR BUILDING / Alarm / Fire Alarm / Installing new device /  we needed to have a Knoxbox installed on the exterior of the building. "Install KNOX BOX"</t>
  </si>
  <si>
    <t xml:space="preserve">Re-key </t>
  </si>
  <si>
    <t>006101 (57 - 506) 006101 - STORE - COBLESKILL - NY - CKL - 673 E MAIN ST - Active 673 E MAIN ST COBLESKILL, NY 12043, US</t>
  </si>
  <si>
    <t>COBLESKILL</t>
  </si>
  <si>
    <t xml:space="preserve">BACKROOM / Door(s) / Interior Door / Re-key / What is the reason for the Re-Key?: Lost Keys / Do you have a Knox Box (a key holder) for the fire department?: No / Store needs the lock on the electrical breaker panel re-keyed or replaced, to provide panel access. Please repair as needed and provide 3 keys for new lock. </t>
  </si>
  <si>
    <t>003548 (44 - 242) 003548 - STORE - LAS VEGAS - NV - L16 - 3395 SOUTH DURANGO DRIVE - Active 3395 SOUTH DURANGO DRIVE LAS VEGAS, NV 89117-4125, US</t>
  </si>
  <si>
    <t>LAS VEGAS</t>
  </si>
  <si>
    <t xml:space="preserve">EXTERIOR GROUNDS / Plumbing / Water Lines / Damaged / Need a lock on the water meter. Homeless keep shutting the water off. </t>
  </si>
  <si>
    <t>001277 (55 - 408) 001277 - STORE - STOCKBRIDGE - GA - SB1 - 4981 NORTH HENRY BLVD - Active 4981 NORTH HENRY BLVD STOCKBRIDGE, GA 30281-3517, US</t>
  </si>
  <si>
    <t>STOCKBRIDGE</t>
  </si>
  <si>
    <t>SHOWROOM / Flooring / Tile / Tile needs repair / Is this a trip and fall hazard?: No /  tile damage in front of the sales counter in the showroom. Needing floor and tile repaired/replaced.</t>
  </si>
  <si>
    <t>Clogged sewer line</t>
  </si>
  <si>
    <t>002503 (30 - 206) 002503 - STORE - KENT - WA - KT1 - 10105 SE 256TH - Active 10105 SE 256TH KENT, WA 98030-6405, US</t>
  </si>
  <si>
    <t xml:space="preserve">RESTROOM / Plumbing / Sewage Piping / Clogged/Leaking / they have clogged sewer lines and when used water come up from floor drains. Both restrooms are down </t>
  </si>
  <si>
    <t>004874 (49 - 631) 004874 - STORE - AVON PARK - FL - AVP - 501 US 27 SOUTH - Active 501 US 27 SOUTH AVON PARK, FL 33825-3545, US</t>
  </si>
  <si>
    <t>SOUTH AVON PARK</t>
  </si>
  <si>
    <t>BACKROOM / Lighting / Emergency Lighting / Violation received / Has the violation already been resolved prior to receiving the notice?: No / Is there a fine associated with the violations?: No / Emergency light over office stays on and received a code 14.12.2.1 violation for it.</t>
  </si>
  <si>
    <t>001471 (68 - 154) 001471 - STORE - FITZGERALD - GA - FGD - 125 OCILLA HIGHWAY - Active 125 OCILLA HIGHWAY FITZGERALD, GA 31750-3769, US</t>
  </si>
  <si>
    <t>FITZGERALD</t>
  </si>
  <si>
    <t>EXTERIOR BUILDING / Lighting / Flood/Spot Light/Wall Pack / Damaged / What type of damage occurred?: Standard wear and tear / Store reports that they have a couple of pole lights that are intermediately flashing. Please investigate the pole light power, drivers, fixtures and repair</t>
  </si>
  <si>
    <t>006395 (27 - 487) 006395 - STORE - FREDERICKSBURG - VA - FB4 - 290 DEACON RD - Active 290 DEACON RD FREDERICKSBURG, VA 22405, US</t>
  </si>
  <si>
    <t xml:space="preserve">Green bollard outside of overhead door hit by delivery driver, needs to be fixed. </t>
  </si>
  <si>
    <t>Clogs</t>
  </si>
  <si>
    <t>003630 (70 - 266) 003630 - RELOCATION - KENNEWICK - WA - KW1 - 824 WEST VINEYARD DRIVE - Active 824 WEST VINEYARD DRIVE KENNEWICK, WA 99336-5579, US</t>
  </si>
  <si>
    <t>KENNEWICK</t>
  </si>
  <si>
    <t>RESTROOM / Plumbing / Sink / Sink is leaking / both sinks clogged and leaking, men's restroom is leaking and the mop sink is clogged.</t>
  </si>
  <si>
    <t>Sign installation and repair</t>
  </si>
  <si>
    <t>006685 (58 - 554) 006685 - STORE - PITTSFIELD - MA - PF2 - 163 SOUTH ST - Active 163 SOUTH ST PITTSFIELD, MA 01201, US</t>
  </si>
  <si>
    <t>PITTSFIELD</t>
  </si>
  <si>
    <t>PARKING LOT / Signage / Handicap / Installation Needed /  Handicap sign post became loose in bollard and needs to be reinstalled securely. Sign is not damaged and does not require replacement. Please assess and repair as needed to restore proper/solid mounting of sign post inside the bollard. (The sign post is inside the store.)</t>
  </si>
  <si>
    <t>005269 (26 - 189) 005269 - STORE - BAMBERG - SC - BMB - 3572 MAIN HWY - Active 3572 MAIN HWY BAMBERG, SC 29003-1896, US</t>
  </si>
  <si>
    <t>BAMBERG</t>
  </si>
  <si>
    <t>BACKROOM / Lighting / Interior Lighting / Partial lighting outage / Lights still work but are dim throughout the whole day. We have attempted to see if the dimmer was turned down, which it is not.</t>
  </si>
  <si>
    <t>Pole Light</t>
  </si>
  <si>
    <t>005830 (57 - 664) 005830 - STORE - AUBURN - NY - AUB - 131 GRANT AVE - Active 131 GRANT AVE AUBURN, NY 13021-2143, US</t>
  </si>
  <si>
    <t>AUBURN</t>
  </si>
  <si>
    <t xml:space="preserve">EXTERIOR GROUNDS / Lighting / Pole Lighting / Partial lighting outage / Is the outage contained to a singular pole, or the entire parking lot?: Singular Pole / We have one light pole near the employee entrance. The bulb has been out for four months. </t>
  </si>
  <si>
    <t>002443 (42 - 528) 002443 - STORE - GENEVA - OH - GVA - 762 S BROADWAY - Active 762 S BROADWAY GENEVA, OH 44041-1950, US</t>
  </si>
  <si>
    <t>GENEVA</t>
  </si>
  <si>
    <t>005332 (27 - 421) 005332 - STORE - PORTSMOUTH - VA - PV3 - 3410 AIRLINE BLVD - Active 3410 AIRLINE BLVD PORTSMOUTH, VA 23701-2623, US</t>
  </si>
  <si>
    <t>PORTSMOUTH</t>
  </si>
  <si>
    <t>HQ USE / HQ USE - Fence / Property Fence / Replacement needed / Storm Water / Found on PM / fencing was destroyed while work was performed, need to repair it</t>
  </si>
  <si>
    <t>006532 (58 - 553) 006532 - STORE - BRIDGEPORT - CT - BGP - 115 MOUNTAIN GROVE ST - Active 115 MOUNTAIN GROVE ST BRIDGEPORT, CT 06605, US</t>
  </si>
  <si>
    <t>BRIDGEPORT</t>
  </si>
  <si>
    <t>BACKROOM / Door(s) / Freight Door - Overhead / Track issues / Is the track causing an issue with opening or closing the store?: No / door is not on track. and will not stop when getting to proper height. Please assess and repair as needed to restore proper/safe door operation</t>
  </si>
  <si>
    <t>CORDELE</t>
  </si>
  <si>
    <t xml:space="preserve">RESTROOM / Plumbing / Toilet/Urinal / Damaged / Toilet in men's bathroom is loose from the floor. Please re-secure the toilet and make sure its stable. </t>
  </si>
  <si>
    <t xml:space="preserve">004002 (26 - 146) 004002 - STORE - TRAVELERS REST - SC - TRS - 28 WALNUT LANE - Active 28 WALNUT LANE TRAVELERS REST, SC 29690-1643, US
</t>
  </si>
  <si>
    <t>TRAVELERS REST</t>
  </si>
  <si>
    <t xml:space="preserve">BACKROOM / Door(s) / Freight Door - Overhead / Lock failure / The Latch on the Roll up door is so bent that it has to be beat on with a hammer or pliers to get it locked and unlocked. This needs to be replaced.
</t>
  </si>
  <si>
    <t>Ceiling</t>
  </si>
  <si>
    <t>000993 (59 - 79) 000993 - STORE - EVANSVILLE - IN - EV3 - 2350 NORTH FIRST AVENUE - Active 2350 NORTH FIRST AVENUE EVANSVILLE, IN 47710-2954, US</t>
  </si>
  <si>
    <t>EVANSVILLE</t>
  </si>
  <si>
    <t xml:space="preserve"> OFFICE/TRAINING ROOM / Ceiling / Damaged ceiling /  Bars are coming down on drop ceiling and ceiling tiles are starting to fall. Needing bars put back into place and ceiling tiles put back.</t>
  </si>
  <si>
    <t>004848 (74 - 378) 004848 - STORE - DELPHOS - OH - DPH - 1028 ELIDA AVENUE - Active 1028 ELIDA AVENUE DELPHOS, OH 45833-1777, US</t>
  </si>
  <si>
    <t>DELPHOS</t>
  </si>
  <si>
    <t>SHOWROOM / Lighting / Interior Lighting / Partial lighting outage / Store reports one 8' LED light fixture out. There's a new 8' LED driver on site to fix the outage</t>
  </si>
  <si>
    <t>004029 (56 - 529) 004029 - STORE - PARKERSBURG - WV - PK2 - 4040 MURDOCH AVE - Active 4040 MURDOCH AVE PARKERSBURG, WV 26105-4057, US</t>
  </si>
  <si>
    <t>PARKERSBURG</t>
  </si>
  <si>
    <t xml:space="preserve">BACKROOM / Plumbing / Water Fountain / Leaking / Is this a safety risk to Team Members and/or customers?: Yes / Store reports Water Fountain is not working. </t>
  </si>
  <si>
    <t>006038 (57 - 506) 006038 - STORE - ILION - NY - ILN - 150 CENTRAL AVENUE - Active 150 CENTRAL AVENUE ILION, NY 13357-1206, US</t>
  </si>
  <si>
    <t>ILION</t>
  </si>
  <si>
    <t>RESTROOM / Plumbing / Toilet/Urinal / Clogged - Entire Bathroom / Pipes need to be jetted out again, bathrooms are backed up and coming out the drains in floor. entire store smells of sewage. We are still working on some permanent repairs, but we need the lines jetted clear</t>
  </si>
  <si>
    <t>Signage</t>
  </si>
  <si>
    <t>000929 (13 - 485) 000929 - STORE - LAFOLLETTE - TN - LFL - 2330 JACKSBORO PIKE - Active 2330 JACKSBORO PIKE LAFOLLETTE, TN 37766-2905, US</t>
  </si>
  <si>
    <t>LAFOLLETTE</t>
  </si>
  <si>
    <t>SHOWROOM / Signage / Interior Décor / Missing / Which letters are missing or damaged?: We need all new lettering above the green counter</t>
  </si>
  <si>
    <t>Hinges</t>
  </si>
  <si>
    <t>006309 (59 - 462) 006309 - STORE - NEW ALBANY - IN - NA2 - 3112 GRANT LINE RD - Active 3112 GRANT LINE RD NEW ALBANY, IN 47150-2156, US</t>
  </si>
  <si>
    <t>EXTERIOR GROUNDS / Fence / Trash Enclosure / Repair needed / What type of damage occurred?: Standard wear and tear / Hinges broke and need to be replaced.</t>
  </si>
  <si>
    <t>006370 (71 - 684) 006370 - STORE - HIALEAH - FL - HL1 - 814 EAST 24TH STREET - Active 814 EAST 24TH STREET HIALEAH, FL 33013, US</t>
  </si>
  <si>
    <t>HIALEAH</t>
  </si>
  <si>
    <t>EXTERIOR GROUNDS / Fence / Trash Enclosure / Repair needed / What type of damage occurred?: Standard wear and tear / The dumpster box fence is broken on the latches.</t>
  </si>
  <si>
    <t>Clogged Sink</t>
  </si>
  <si>
    <t>006599 (27 - 487) 006599 - STORE - WALDORF - MD - WD1 - 3385 CRAIN HWY - Active 3385 CRAIN HWY WALDORF, MD 20603-4857, US</t>
  </si>
  <si>
    <t>WALDORF</t>
  </si>
  <si>
    <t>RESTROOM / Plumbing / Sink / Sink is clogged / sink at first had a slow drain no the second hand sink has sitting water. Please assess the sinks and repair as needed to restore proper plumbing operation.</t>
  </si>
  <si>
    <t>003613 (38 - 389) 003613 - STORE - TULARE - CA - TU1 - 1224 EAST PROSPERITY AVE - Active 1224 EAST PROSPERITY AVE TULARE, CA 93274-8050, US</t>
  </si>
  <si>
    <t>TULARE</t>
  </si>
  <si>
    <t xml:space="preserve">RESTROOM / Plumbing / Toilet/Urinal / Clogged - Singular / Restroom not flushing , bowl not filing up </t>
  </si>
  <si>
    <t>005879 (58 - 571) 005879 - STORE - SWANSEA - MA - SWA - 1068 GAR HIGHWAY - Active 1068 GAR HIGHWAY SWANSEA, MA 02777-4501, US</t>
  </si>
  <si>
    <t>SWANSEA</t>
  </si>
  <si>
    <t>BACKROOM / Lighting / Interior Lighting / Partial lighting outage / there is a couple rows of lights out in the back room over commercial and next to the bathroom.</t>
  </si>
  <si>
    <t>004530 (50 - 603) 004530 - STORE - BANGOR - ME - BG1 - 911 STILLWATER AVE - Active 911 STILLWATER AVE BANGOR, ME 04401-3613, US</t>
  </si>
  <si>
    <t>BANGOR</t>
  </si>
  <si>
    <t>SHOWROOM / Lighting / Interior Lighting / Partial lighting outage / 8' section of lights out on sales floor. There is a new LED driver on site to repair the outage</t>
  </si>
  <si>
    <t>006414 (13 - 655) 006414 - STORE - PINEY FLATS - TN - PFT - 6410 BRISTOL HWY - Active 6410 BRISTOL HWY PINEY FLATS, TN 37686, US</t>
  </si>
  <si>
    <t>BRISTOL</t>
  </si>
  <si>
    <t>BACKROOM / Lighting / Interior Lighting / Damaged / What type of damage occurred?: Standard wear and tear / Light not fully attached to ceiling.</t>
  </si>
  <si>
    <t>006653 (58 - 665) 006653 - STORE - DANBURY - CT - DB2 - 303 WHITE STREET - Active 303 WHITE STREET DANBURY, CT 06810-6934, US</t>
  </si>
  <si>
    <t>DANBURY</t>
  </si>
  <si>
    <t>EXTERIOR BUILDING / Plumbing / Water Faucet/Hydrant/Spigot / Damaged / front left outside water faucet froze due to leak. The leak is not active, as it's frozen</t>
  </si>
  <si>
    <t>005237 (54 - 546) 005237 - STORE - OAKLAND - TN - OKD - 6745 HIGHWAY 64 - Active 6745 HIGHWAY 64 OAKLAND, TN 38060-3207, US</t>
  </si>
  <si>
    <t xml:space="preserve">BACKROOM / Plumbing / Water Fountain / Leaking / Is this a safety risk to Team Members and/or customers?: No / Store reports Water Fountain is leaking. </t>
  </si>
  <si>
    <t xml:space="preserve">RESTROOM / Plumbing / Toilet/Urinal / Leaking / Is this a safety risk to Team Members and/or customers?: Yes / Water is leaking from the base of the toilet. It is leaking enough to the point where we should have fix it. Please assess and repair as needed to restore plumbing integrity/operation. </t>
  </si>
  <si>
    <t>SHOWROOM / Lighting / Interior Lighting / Partial lighting outage / Three sections of lighting out on sales floor. 3 drivers on site to repair outages</t>
  </si>
  <si>
    <t>Freight Door</t>
  </si>
  <si>
    <t>003647 (47 - 295) 003647 - STORE - DAYTON - NV - DAY - 9 RETAIL ROAD - Active 9 RETAIL ROAD STE 2 DAYTON, NV 89403-6365, US</t>
  </si>
  <si>
    <t xml:space="preserve">HQ USE / HQ USE - Door(s) / Freight Door - Non-Overhead / Replacement / Need newly installed double doors painted. </t>
  </si>
  <si>
    <t>Parking  Stops</t>
  </si>
  <si>
    <t>006732 (76 - 269) 006732 - STORE - SIERRA VISTA - AZ - SV2 - 4049 E COOPER ST - Active 4049 E COOPER ST SIERRA VISTA, AZ 85650, US</t>
  </si>
  <si>
    <t xml:space="preserve">PARKING LOT / Parking Stops / Parking Stops / Parking stop(s) damaged / Is this a trip and fall hazard?: No / How many parking stop(s) are damaged?: 2 / Multiple parking blocks are damaged with exposed rebar, need replacement or repair. </t>
  </si>
  <si>
    <t>002771 (34 - 496) 002771 - STORE - SAN LUIS - AZ - SL1 - 698 N SAN LUIS PLAZA DR - Active 698 N SAN LUIS PLAZA DR SAN LUIS, AZ 85336-0863, US</t>
  </si>
  <si>
    <t>SAN LUIS</t>
  </si>
  <si>
    <t xml:space="preserve">EXTERIOR GROUNDS / Landscaping / Landscaping / Grounds clean up / Store reports that they need a grounds clean - up due to weeds and grass growth. </t>
  </si>
  <si>
    <t>Clogged sewage line</t>
  </si>
  <si>
    <t>000112 (2 - 574) 000112 - STORE - INDEPENDENCE - MO - IN1 - 1704 EAST 24 HIGHWAY - Active 1704 EAST 24 HIGHWAY INDEPENDENCE, MO 64050-2265, US</t>
  </si>
  <si>
    <t>INDEPENDENCE</t>
  </si>
  <si>
    <t>MO</t>
  </si>
  <si>
    <t>RESTROOM / Plumbing / Sewage Piping / Clogged/Leaking / Store reports a Main sewer line clog. Sewage is coming up from the floor drains.</t>
  </si>
  <si>
    <t>Wall pack</t>
  </si>
  <si>
    <t xml:space="preserve">REPLACEMENT - Wall pack//EXTERIOR BUILDING / Lighting / Flood/Spot Light/Wall Pack, Freight Door Light / Partial lighting outage / Which light has an outage?: Wall Pack / Is the outage contained to a light, or all of them?: Singular / A new wall pack is on site to be used as a replacement. </t>
  </si>
  <si>
    <t>EXTERIOR BUILDING / Lighting / Flood/Spot Light/Wall Pack,Freight Door Light / Partial lighting outage / Which light has an outage?: Wall Pack / Is the outage contained to a light, or all of them?: Singular / EXTERIOR BUILDING / Lighting / Flood/Spot Light/Wall Pack,Freight Door Light / Partial lighting outage / Which light has an outage?: Flood / Is the outage contained to a light, or all of them?: Singular / 2 wall packs out. There are 2 new wall pack drivers on site</t>
  </si>
  <si>
    <t>003715 (70 - 266) 003715 - STORE - KENNEWICK - WA - KW2 - 7201 WEST CLEARWATER AVE - Active 7201 WEST CLEARWATER AVE KENNEWICK, WA 99336-1694, US</t>
  </si>
  <si>
    <t>RESTROOM / Plumbing / Toilet/Urinal / Leaking / Is this a safety risk to Team Members and/or customers?: Yes / The Toilet is leaking from the lower tank.</t>
  </si>
  <si>
    <t>000894 (54 - 106) 000894 - STORE - MEMPHIS - TN - MP3 - 3255 THOMAS STREET - Active 3255 THOMAS STREET MEMPHIS, TN 38127-6013, US</t>
  </si>
  <si>
    <t>PARKING LOT / Parking Stops / Parking Stops / Parking stop(s) damaged / Is this a trip and fall hazard?: Yes / How many parking stop(s) are damaged?: 1 / Store has a damaged parking stop.</t>
  </si>
  <si>
    <t>RESTROOM / Plumbing / Toilet/Urinal / Leaking / Is this a safety risk to Team Members and/or customers?: No / Men's Restroom toilet is leaking from the bottom of the tank near the tank mounting bolt. Steady drip is coming out.</t>
  </si>
  <si>
    <t>001375 (12 - 137) 001375 - STORE - LAWRENCEBURG - TN - LBG - 1815 NORTH LOCUST AVENUE - Active 1815 NORTH LOCUST AVENUE LAWRENCEBURG, TN 38464-2333, US</t>
  </si>
  <si>
    <t>LAWRENCEBURG</t>
  </si>
  <si>
    <t>EXTERIOR BUILDING / Plumbing / Water Faucet/Hydrant/Spigot / Leaking / Is this a safety risk to Team Members and/or customers?: No / Water faucet outside of building is leaking.</t>
  </si>
  <si>
    <t>001065 (69 - 81) 001065 - STORE - SHELBYVILLE - TN - SB1 - 630 NORTH MAIN STREET - Active 630 NORTH MAIN STREET SHELBYVILLE, TN 37160-3211, US</t>
  </si>
  <si>
    <t>SHELBYVILLE</t>
  </si>
  <si>
    <t>RESTROOM / Plumbing / Toilet/Urinal / Clogged - Entire Bathroom / Bathrooms are clogging again. there is grease and/or trash getting into the pipes from the neighboring store. Need a possible fix to prevent this from happening before our toilets overflow and floors become covered in feces, again.</t>
  </si>
  <si>
    <t>SHOWROOM / Lighting / Interior Lighting / Partial lighting outage /  at store 4430  the lights would not come on in the OFM area and the back room was black. They attempted to override in the ADM panel however the panel would go out and come back on with no lights. WE flip the breaker labeled “LCP” and all the lights came on.  the panel would need to be replaced as all the lights will remain on 24/7 until this is completed.The ADM EMS System has failed therefore the lighting will need to be controlled manually.</t>
  </si>
  <si>
    <t>Pole Lighting</t>
  </si>
  <si>
    <t>004468 (49 - 561) 004468 - STORE - PLANT CITY - FL - PTC - 1704 JAMES L REDMAN PKWY - Active 1704 JAMES L REDMAN PKWY PLANT CITY, FL 33563-6912, US</t>
  </si>
  <si>
    <t>PLANT CITY</t>
  </si>
  <si>
    <t>PARKING LOT / Lighting / Pole Lighting / Complete lighting outage / Is the outage contained to a singular pole, or the entire parking lot?: Entire Parking Lot / 3 poles on premises, all 3 are out and parking lot in both front and side of building are very dark. only illumination on the side of the building come from the gas station directly next to us.</t>
  </si>
  <si>
    <t>Parts on order with the client.// reassigned</t>
  </si>
  <si>
    <t>001252 (54 - 108) 001252 - STORE - UNION CITY - TN - UCY - 306 WEST REELFOOT AVENUE - Active 306 WEST REELFOOT AVENUE UNION CITY, TN 38261-5630, US</t>
  </si>
  <si>
    <t>RESTROOM / Plumbing / Toilet/Urinal / Damaged / Men's toilet will not quit running, turned off water to it.</t>
  </si>
  <si>
    <t>004435 (55 - 191) 004435 - STORE - MACON - GA - MO5 - 250 TOM HILL BLVD - Active 250 TOM HILL BLVD MACON, GA 31210, US</t>
  </si>
  <si>
    <t>MACON</t>
  </si>
  <si>
    <t>HQ USE / HQ USE - Signage / Handicap / Missing / Handicap sign missing.</t>
  </si>
  <si>
    <t>001092 (18 - 109) 001092 - STORE - MONTGOMERY - AL - MG1 - 421 W FAIRVIEW AVENUE - Active 421 W FAIRVIEW AVENUE MONTGOMERY, AL 36105-1621, US</t>
  </si>
  <si>
    <t>RESTROOM / Plumbing / Toilet/Urinal / Damaged / Toilet need to be replaced.</t>
  </si>
  <si>
    <t>003569 (76 - 496) 003569 - STORE - YUMA - AZ - YM3 - 11274 S FORTUNA RD - Active 11274 S FORTUNA RD STE B YUMA, AZ 85367-7847, US</t>
  </si>
  <si>
    <t>YUMA</t>
  </si>
  <si>
    <t>BACKROOM / Electrical / Electrical / Partial outage /  requesting  to troubleshoot the Surveyor Data Concentrator (5 by 7 blue box by the lighting overrides that says "SURVEYOR") and tone Cat 5 cable at this site. There is no communication with the LIGHTING or HVAC = the Energy Management System: Surveyor. The EMS Surveyor is failing to communicate.</t>
  </si>
  <si>
    <t>002365 (42 - 333) 002365 - STORE - CUYAHOGA FALLS - OH - CUY - 86 GRAHAM ROAD - Active 86 GRAHAM ROAD CUYAHOGA FALLS, OH 44223-1205, US</t>
  </si>
  <si>
    <t>CUYAHOGA FALLS</t>
  </si>
  <si>
    <t>SHOWROOM / Lighting / Interior Lighting / Partial lighting outage / Store has an 8' LED light out near the back wall. There is a new 8' LED driver on site to repair the outage.</t>
  </si>
  <si>
    <t>002124 (74 - 378) 002124 - STORE - WAUSEON - OH - WAU - 1060 NORTH SHOOP AVENUE - Active 1060 NORTH SHOOP AVENUE WAUSEON, OH 43567-1821, US</t>
  </si>
  <si>
    <t>WAUSEON</t>
  </si>
  <si>
    <t>EXTERIOR BUILDING / Lighting / Flood/Spot Light/Wall Pack,Freight Door Light / Complete lighting outage / Which light has an outage?: Wall Pack / Is the outage contained to a light, or all of them?: Singular / that their rear wall pack over the freight door is not illuminating.</t>
  </si>
  <si>
    <t>004919 (31 - 341) 004919 - STORE - WEAVERVILLE - CA - WVL - 1120 MAIN STREET - Active 1120 MAIN STREET WEAVERVILLE, CA 96093, US</t>
  </si>
  <si>
    <t>WEAVERVILLE</t>
  </si>
  <si>
    <t>RESTROOM / Plumbing / Toilet/Urinal / Clogged - Singular / urinal is overflowing and draining very slow needs a plumber</t>
  </si>
  <si>
    <t>005211 (13 - 414) 005211 - STORE - BRISTOL - VA - BRS - 2460 LEE HWY - Active 2460 LEE HWY BRISTOL, VA 24201-1624, US</t>
  </si>
  <si>
    <t>Header wall cracked from snow storm</t>
  </si>
  <si>
    <t>005107 (56 - 543) 005107 - RELOCATION - WASHINGTON - PA - WHN - 750 JEFFERSON AVE - Active 750 JEFFERSON AVE WASHINGTON, PA 15301-4135, US</t>
  </si>
  <si>
    <t>RESTROOM / Plumbing / Sink / Sink is damaged / Womens bathroom has no hot water.</t>
  </si>
  <si>
    <t>BACKROOM / Door(s) / Freight Door - Overhead / Track issues / Is the track causing an issue with opening or closing the store?: Yes / Overhead door is off of the tracks. The driver secured it for now but will need fixing.</t>
  </si>
  <si>
    <t>002206 (55 - 129) 002206 - STORE - AUGUSTA - GA - AG4 - 1504 NORTH LEG ROAD - Active 1504 NORTH LEG ROAD AUGUSTA, GA 30909-4332, US</t>
  </si>
  <si>
    <t>AUGUSTA</t>
  </si>
  <si>
    <t>BACKROOM / Electrical / Electrical / Partial outage / Photocell is reading -1 this could be due to a comm issue from the LCP to the Hub or a photocell is going out. Need tech onsite to troubleshoot.</t>
  </si>
  <si>
    <t>Jordan Evans</t>
  </si>
  <si>
    <t>BACKROOM / Plumbing / Water Lines / Damaged / Outside faucet pipe froze and burst i was able to shut the water off to that area. Not leaking but cant be turned on.</t>
  </si>
  <si>
    <t>PLAINVIEW</t>
  </si>
  <si>
    <t>RESTROOM / Plumbing / Toilet/Urinal / Leaking / Is this a safety risk to Team Members and/or customers?: Yes  / Men's toilet is still running constantly. Please supply and install (2) new toilets - 1 in the men's and 1 in the women's restroom per SM request.</t>
  </si>
  <si>
    <t>RESTROOM / Plumbing / Hot Water Heater / No hot water / There is no hot water in the Men's Restroom.</t>
  </si>
  <si>
    <t>Insulation</t>
  </si>
  <si>
    <t>003030 (47 - 480) 003030 - STORE - FOLSOM - CA - FOL - 1191 RILEY STREET - Active 1191 RILEY STREET FOLSOM, CA 95630-3508, US</t>
  </si>
  <si>
    <t>FOLSOM</t>
  </si>
  <si>
    <t>BACKROOM / Ceiling / Ceiling / Falling insulation / ceiling insulation is falling /   re-secure or add new insulation as required for final repairs.</t>
  </si>
  <si>
    <t>005525 (56 - 455) 005525 - STORE - CHARLESTON - WV - CW2 - 6309 MACCORKLE AVE SE - Active 6309 MACCORKLE AVE SE STE 400 CHARLESTON, WV 25304-2977, US</t>
  </si>
  <si>
    <t>CHARLESTON</t>
  </si>
  <si>
    <t>RESTROOM / Plumbing / Sink / Sink is clogged / Women's bathroom sink clogged.</t>
  </si>
  <si>
    <t>EXTERIOR BUILDING / Plumbing / Water Faucet/Hydrant/Spigot / Leaking / Is this a safety risk to Team Members and/or customers?: Yes / pipe at water meter is busted in front of the store. Please repair the leak.</t>
  </si>
  <si>
    <t>001319 (18 - 578) 001319 - STORE - GUNTERSVILLE - AL - GNT - 11717 US HIGHWAY 431 S - Active 11717 US HIGHWAY 431 S GUNTERSVILLE, AL 35976-5652, US</t>
  </si>
  <si>
    <t>GRUNTERSVILLE</t>
  </si>
  <si>
    <t>001456 (68 - 192) 001456 - STORE - JESUP - GA - JSP - 902 NORTH 1ST STREET - Active 902 NORTH 1ST STREET JESUP, GA 31545-1645, US</t>
  </si>
  <si>
    <t>JESUP</t>
  </si>
  <si>
    <t xml:space="preserve">RESTROOM / Plumbing / Toilet/Urinal / Clogged - Entire Bathroom / Toilets, floor drains, and mop sink are clogged and wastewater has backed up into the floors of both restrooms, which is now emitting a sewer odor into the store. Employees and customers cannot use the restrooms. Please clear the clog and test flow. </t>
  </si>
  <si>
    <t>005173 (56 - 622) 005173 - STORE - GIBSONIA - PA - GSA - 5044 WILLIAM FLYNN HWY - Active 5044 WILLIAM FLYNN HWY GIBSONIA, PA 15044-8406, US</t>
  </si>
  <si>
    <t>GIBSONIA</t>
  </si>
  <si>
    <t>SHOWROOM / Lighting / Interior Lighting / Partial lighting outage / I have an 8 foot section of lighting out. There is a new 8' LED driver on site to fix the outage.</t>
  </si>
  <si>
    <t>005568 (44 - 427) 005568 - STORE - HENDERSON - NV - HD3 - 1504 NORTH BOULDER HWY - Active 1504 NORTH BOULDER HWY HENDERSON, NV 89011-4120, US</t>
  </si>
  <si>
    <t>HENDERSON</t>
  </si>
  <si>
    <t xml:space="preserve">vandals continually cut the dumpster locks and spread trash all over. /// Please investigate and install a tamper proof locking assembly as needed for correct operation. </t>
  </si>
  <si>
    <t>005230 (58 - 456) 005230 - STORE - NORTH PROVIDENCE - RI - NPE - 1400 MINERAL SPRING AVE - Active 1400 MINERAL SPRING AVE NORTH PROVIDENCE, RI 02904-4506, US</t>
  </si>
  <si>
    <t>PROVIDENCE</t>
  </si>
  <si>
    <t>RI</t>
  </si>
  <si>
    <t xml:space="preserve">BACKROOM / Door(s) / Freight Door - Overhead / Water coming in through door(s) /  just notice water is coming in from the side and under the seal u can see a gap where you can see light coming through. </t>
  </si>
  <si>
    <t>Fixutres</t>
  </si>
  <si>
    <t>003466 (47 - 230) 003466 - STORE - SPARKS - NV - SP2 - 1725 PRATER WAY - Active 1725 PRATER WAY SPARKS, NV 89431-4588, US</t>
  </si>
  <si>
    <t>SPARKS</t>
  </si>
  <si>
    <t xml:space="preserve">SHOWROOM / Lighting / Interior Lighting / Partial lighting outage /Lighting Completely Out, fixtures are not getting power. </t>
  </si>
  <si>
    <t>005267 (58 - 553) 005267 - STORE - STRATFORD - CT - STF - 1480 BARNUM AVE - Active 1480 BARNUM AVE STRATFORD, CT 06614-5403, US</t>
  </si>
  <si>
    <t>STRATFORD</t>
  </si>
  <si>
    <t>RESTROOM / Plumbing / Toilet/Urinal / Clogged - Entire Bathroom / The toilets in both bathrooms are clogged. Please assess and repair as needed to restore proper plumbing operation.</t>
  </si>
  <si>
    <t>LED Light</t>
  </si>
  <si>
    <t>004837 (70 - 266) 004837 - STORE - OTHELLO - WA - OTH - 1720 EAST MAIN STREET - Active 1720 EAST MAIN STREET OTHELLO, WA 99344, US</t>
  </si>
  <si>
    <t>OTHELLO</t>
  </si>
  <si>
    <t>SHOWROOM / Lighting / Interior Lighting / Partial lighting outage / one section of lights are not working. believe its a led ballast that has gone bad. // Store reports 1 8ft section(s) of LED lights are out in the showroom. I have 1 LED driver(s) that is at the store that needs changed out</t>
  </si>
  <si>
    <t>Wall Repair</t>
  </si>
  <si>
    <t>006719 (68 - 437) 006719 - STORE - GARDEN CITY - GA - GC2 - 4415 AUGUSTA RD - Active 4415 AUGUSTA RD GARDEN CITY, GA 31408, US</t>
  </si>
  <si>
    <t>BACKROOM / Wall(s) / Wall / Water coming in through the wall / Water is actually coming through the transfer switch. This has been a continual issue and construction has failed to address properly.</t>
  </si>
  <si>
    <t>002177 (68 - 623) 002177 - STORE - SUMMERVILLE - SC - SL1 - 1104 BACONS BRIDGE ROAD - Active 1104 BACONS BRIDGE ROAD SUMMERVILLE, SC 29485-4112, US</t>
  </si>
  <si>
    <t>SUMMERVILLE</t>
  </si>
  <si>
    <t xml:space="preserve">HQ USE / HQ USE - Electrical / Counters / Counter Exchange / Please  help with any power issues that may arise while converting the counters. </t>
  </si>
  <si>
    <t>005657 (56 - 636) 005657 - STORE - KENOVA - WV - KNV - 901 OAK ST - Active 901 OAK ST KENOVA, WV 25530-1422, US</t>
  </si>
  <si>
    <t>KENOVA</t>
  </si>
  <si>
    <t>SHOWROOM / Lighting / Interior Lighting / Partial lighting outage / Store has (1) 8ft fixture out. Replacements LED Drivers are onsite ready to be installed</t>
  </si>
  <si>
    <t>002278 (21 - 329) 002278 - STORE - WASHINGTON COURT HOUSE - OH - WCH - 330 W COURT ST - Active 330 W COURT ST WASHINGTON COURT HOUSE, OH 43160-1242, US</t>
  </si>
  <si>
    <t>WASHINGTON COURT HOUSE</t>
  </si>
  <si>
    <t>RESTROOM / Plumbing / Hot Water Heater / No hot water / tank-less water heater turns on, lights up but no hot water, looked for a reset button but doesn't appear to have one, conclusion is heating element went bad due to turning on but not working.</t>
  </si>
  <si>
    <t>005037 (27 - 487) 005037 - STORE - FREDERICKSBURG - VA - FB1 - 4625 S MINE RD - Active 4625 S MINE RD FREDERICKSBURG, VA 22408-2613, US</t>
  </si>
  <si>
    <t>FREDRICKSBURG</t>
  </si>
  <si>
    <t>RESTROOM / Plumbing / Toilet/Urinal / Leaking / Is this a safety risk to Team Members and/or customers?: No / Ladies toilet is leaking at the base of the tank.</t>
  </si>
  <si>
    <t>Parking Stops</t>
  </si>
  <si>
    <t>004843 (21 - 517) 004843 - STORE - BATAVIA - OH - BVA - 2230 BAUER ROAD - Active 2230 BAUER ROAD BATAVIA, OH 45103-1995, US</t>
  </si>
  <si>
    <t>BATAVIA</t>
  </si>
  <si>
    <t>PARKING LOT / Parking Stops / Parking Stops / Parking stop(s) damaged / Is this a trip and fall hazard?: No / How many parking stop(s) are damaged?: 1 / Parking curb was moved from either a plow truck or a customers vehicle. And the rebar was broken as well.</t>
  </si>
  <si>
    <t>Dry wall repair</t>
  </si>
  <si>
    <t>002032 (74 - 378) 002032 - STORE - WAPAKONETA - OH - WAP - 1102 BELLEFONTAINE STREET - Active 1102 BELLEFONTAINE STREET WAPAKONETA, OH 45895-9774, US</t>
  </si>
  <si>
    <t>WAPAKONETA</t>
  </si>
  <si>
    <t>Snow on roof cracked header wall - Deflection measurement was within spec, will need drywall repaired after snow is gone</t>
  </si>
  <si>
    <t>005136 (13 - 95) 005136 - STORE - DANDRIDGE - TN - DDG - 1029 HIGHWAY 92 S - Active 1029 HIGHWAY 92 S DANDRIDGE, TN 37725-4740, US</t>
  </si>
  <si>
    <t>DANDRIDGE</t>
  </si>
  <si>
    <t>RESTROOM / Plumbing / Toilet/Urinal / Clogged - Entire Bathroom / Both restroom toilets are clogged and baking up through the floor drain in the women's restroom. Please clear the clog .</t>
  </si>
  <si>
    <t>005186 (13 - 458) 005186 - STORE - HAZARD - KY - HZD - 115 CITIZENS LN - Active 115 CITIZENS LN HAZARD, KY 41701-1352, US</t>
  </si>
  <si>
    <t>HAZARD</t>
  </si>
  <si>
    <t>004886 (68 - 437) 004886 - STORE - RIDGELAND - SC - RGL - 11058 N JACOB SMART BLVD - Active 11058 N JACOB SMART BLVD RIDGELAND, SC 29936-8454, US</t>
  </si>
  <si>
    <t>RIDGELAND</t>
  </si>
  <si>
    <t>EXTERIOR BUILDING / Lighting / Emergency Lighting / Damaged / What type of damage occurred?: Vandalism / one light is missing and one doesn't work. Please install the wall packs</t>
  </si>
  <si>
    <t>006420 (68 - 127) 006420 - STORE - WARNER ROBINS - GA - WR4 - 119 BEULAH CHURCH RD - Active 119 BEULAH CHURCH RD WARNER ROBINS, GA 31088, US</t>
  </si>
  <si>
    <t>WARNER ROBINS</t>
  </si>
  <si>
    <t xml:space="preserve">RESTROOM / Plumbing / Toilet/Urinal / Clogged - Entire Bathroom / not flushing. Please snake and clear the line.
</t>
  </si>
  <si>
    <t>006283 (57 - 681) 006283 - STORE - SPRINGVILLE - NY - SPV - 564 W MAIN ST - Active 564 W MAIN ST SPRINGVILLE, NY 14141, US</t>
  </si>
  <si>
    <t>SPRINGVILLE</t>
  </si>
  <si>
    <t>PARKING LOT / Parking Stops / Parking Stops / Parking stop(s) damaged / Is this a trip and fall hazard?: Yes / How many parking stop(s) are damaged?: 1 / parking stop is lifted and a trip hazard. believe snow plow hit it. we recently had snow melt and it was buried prior. was unaware of damages till now.</t>
  </si>
  <si>
    <t>003528 (47 - 581) 003528 - STORE - RENO - NV - RN3 - 7540 LONGLEY LANE - Active 7540 LONGLEY LANE RENO, NV 89511-1211, US</t>
  </si>
  <si>
    <t>RESTROOM / Plumbing / Sink / Sink is leaking / bathroom sink is leaking from the pipes under the sink.</t>
  </si>
  <si>
    <t>005219 (56 - 543) 005219 - STORE - GLASSPORT - PA - GPT - 937 OHIO AVE - Active 937 OHIO AVE UNIT B GLASSPORT, PA 15045-1634, US</t>
  </si>
  <si>
    <t>GLASSPORT</t>
  </si>
  <si>
    <t>EXTERIOR BUILDING / Door(s) / Front Door / Lock failure / Is the lock causing an issue with opening or closing the store?: Yes / when locking door from inside the handle fell off and can't be locked from inside and once in store the front door cant be locked.</t>
  </si>
  <si>
    <t>EXTERIOR GROUNDS / Landscaping / Landscaping / Grounds clean up /  vacant land next door is being neglected. This is an owned store.//  clean up the landscaping on the vacant lot.</t>
  </si>
  <si>
    <t>001691 (54 - 546) 001691 - STORE - SOMERVILLE - TN - SOM - 17455 US HIGHWAY 64 - Active 17455 US HIGHWAY 64 SOMERVILLE, TN 38068-6192, US</t>
  </si>
  <si>
    <t>SOMERVILLE</t>
  </si>
  <si>
    <t xml:space="preserve">SHOWROOM / Wall(s) / Drywall / Cracked/damaged drywall / Drywall damaged by roof deflection under snow </t>
  </si>
  <si>
    <t>SHOWROOM / Door(s) / Front Door / Lock failure / Is the lock causing an issue with opening or closing the store?: Yes / front door will not lock from inside, you have to lock it with the key from the outside.</t>
  </si>
  <si>
    <t>LIVERPOOL</t>
  </si>
  <si>
    <t xml:space="preserve">EXTERIOR GROUNDS / Fence / Trash Enclosure / Repair needed / What type of damage occurred?: Standard wear and tear / We need new boards all the way around the Trash Enclosure. </t>
  </si>
  <si>
    <t>001934 (13 - 485) 001934 - STORE - CLINTON - TN - CLO - 626 N CHARLES SEIVERS BLVD - Active 626 N CHARLES SEIVERS BLVD CLINTON, TN 37716-3839, US</t>
  </si>
  <si>
    <t>CLINTON</t>
  </si>
  <si>
    <t>EXTERIOR GROUNDS / Landscaping / Landscaping / Grounds clean up /  the gravel between sidewalk and curbing is sunken enough to cause a tripping hazard for customers and would like to look at getting more added.</t>
  </si>
  <si>
    <t>004454 (27 - 541) 004454 - STORE - YORKTOWN - VA - YT1 - 111 GOODWIN NECK RD - Active 111 GOODWIN NECK RD YORKTOWN, VA 23692-2121, US</t>
  </si>
  <si>
    <t>YORKTOWN</t>
  </si>
  <si>
    <t>EXTERIOR BUILDING / Door(s) / Front Door / Lock failure / Is the lock causing an issue with opening or closing the store?: No / Store has a double front door, the stationary door's top latch is frozen, it can not move it to lock the door securely. Please assess and repair as needed to restore proper operation and door security before store closes tonight</t>
  </si>
  <si>
    <t>006977 (27 - 683) 006977 - STORE - BEL AIR - MD - BA1 - 711 BALTIMORE PIKE - Active 711 BALTIMORE PIKE BEL AIR, MD 21014, US</t>
  </si>
  <si>
    <t>BLTIMORE</t>
  </si>
  <si>
    <t>SHOWROOM / Ceiling / Ceiling / Falling insulation // AFTER ROOF REPAIRS GOT COMPLETED, SEVERAL AREAS HAVE INSULATION THAT HAS GOTTEN WET AND STORE STRONG MUSTY SMELL IN AREAS.</t>
  </si>
  <si>
    <t>Lea James</t>
  </si>
  <si>
    <t>003734 (51 - 204) 003734 - STORE - STANWOOD - WA - STA - 7003 265TH ST NORTHWEST - Active 7003 265TH ST NORTHWEST STANWOOD, WA 98292-6247, US</t>
  </si>
  <si>
    <t>STANWOOD</t>
  </si>
  <si>
    <t>SHOWROOM / Lighting / Interior Lighting / Partial lighting outage / 8' section of LED lights out between aisle 4 and 5. There is a new 8' LED driver on site to fix the outage, please  install.</t>
  </si>
  <si>
    <t>Toilet Repair</t>
  </si>
  <si>
    <t>006750 (29 - 391) 006750 - STORE - CHANNAHON - IL - CNH - 27101 W EAMES ST - Active 27101 W EAMES ST CHANNAHON, IL 60410, US</t>
  </si>
  <si>
    <t>CHANNAHON</t>
  </si>
  <si>
    <t>RESTROOM / Plumbing / Toilet/Urinal / Damaged / Toilet is not fastened to the floor completely. Flush handle is broken. Does not seem to seem to flush correctly.</t>
  </si>
  <si>
    <t>004537 (50 - 603) 004537 - STORE - ELLSWORTH - ME - ELW - 24 DOWNEAST HIGHWAY - Active 24 DOWNEAST HIGHWAY ELLSWORTH, ME 04605-1731, US.</t>
  </si>
  <si>
    <t>ELLSWORTH</t>
  </si>
  <si>
    <t>Ocean State Job Lot- 50 Ann Mary St. Pawtucket, RI 02860</t>
  </si>
  <si>
    <t>PAWTUCKET</t>
  </si>
  <si>
    <t xml:space="preserve">HQ USE / HQ USE - Electrical / Counters / Counter Exchange / Please  help with any power issues that may arise during the exchange of the counters. </t>
  </si>
  <si>
    <t>003600 (47 - 581) 003600 - STORE - RENO - NV - RN6 - 1755 SOUTH VIRGINIA - Active 1755 SOUTH VIRGINIA RENO, NV 89502-2821, US</t>
  </si>
  <si>
    <t xml:space="preserve">RESTROOM / Plumbing / Toilet/Urinal / Clogged - Singular / toilet will not flush. tried plunging and adjusting fill valve </t>
  </si>
  <si>
    <t>002770 (30 - 261) 002770 - STORE - BREMERTON - WA - BR1 - 5072 STATE HIGHWAY 303 NE - Active 5072 STATE HIGHWAY 303 NE BREMERTON, WA 98311-3632, US</t>
  </si>
  <si>
    <t>BERMERTON</t>
  </si>
  <si>
    <t>Ocean State Job Lot- 10 Merchants Way Middleborough, MA 02346</t>
  </si>
  <si>
    <t>MIDDLEBOROUGH</t>
  </si>
  <si>
    <t>RESTROOM / Plumbing / Toilet/Urinal / Leaking / Is this a safety risk to Team Members and/or customers?: Yes / the urinal is non stop running and wouldnt stop so i had to shut the water off to it so we put an out of order sign on it.</t>
  </si>
  <si>
    <t>AURBURN</t>
  </si>
  <si>
    <t xml:space="preserve">SHOWROOM / Lighting / Interior Lighting / Partial lighting outage / Store reports FOUR 8' LED fixtures out on the sales floor and THREE 8' fixtures out in back room. There are 7 new 8' LED drivers on site to repair the outages. </t>
  </si>
  <si>
    <t>006726 (58 - 571) 006726 - STORE - DENNIS PORT - MA - DPM - 714 MAIN ST - Active 714 MAIN ST DENNIS PORT, MA 02639, US</t>
  </si>
  <si>
    <t>DENNIS PORT</t>
  </si>
  <si>
    <t>SHOWROOM / Lighting / Interior Lighting / Partial lighting outage / light out over isle 5</t>
  </si>
  <si>
    <t>002221 (26 - 189) 002221 - STORE - ORANGEBURG - SC - OU2 - 2355 CHESTNUT STREET - Active 2355 CHESTNUT STREET ORANGEBURG, SC 29115-3235, US</t>
  </si>
  <si>
    <t>ORANGEBURG</t>
  </si>
  <si>
    <t>RESTROOM / Plumbing / Sewage Piping / Clogged/Leaking / Both restroom toilets are clogged and not draining.</t>
  </si>
  <si>
    <t>001488 (68 - 127) 001488 - STORE - HAWKINSVILLE - GA - HWK - 214 BROAD STREET - Active 214 BROAD STREET HAWKINSVILLE, GA 31036-4817, US</t>
  </si>
  <si>
    <t>HAWKINSVILLE</t>
  </si>
  <si>
    <t>RESTROOM / Plumbing / Toilet/Urinal / Clogged - Entire Bathroom / Toilet #1 backed up, when toiler #2 is used the first one gargles and fills.</t>
  </si>
  <si>
    <t>EXTERIOR BUILDING / Lighting / Flood/Spot Light/Wall Pack,Freight Door Light / Complete lighting outage / Which light has an outage?: Wall Pack / Is the outage contained to a light, or all of them?: All / Parking lot lights are not working.</t>
  </si>
  <si>
    <t xml:space="preserve"> BACKROOM / Lighting / Interior Lighting / Partial lighting outage / Store has (1) 8ft fixture out. Replacements LED Drivers are onsite ready to be installed.</t>
  </si>
  <si>
    <t>000941 (12 - 540) 000941 - STORE - LEWISBURG - TN - LEW - 460 ELLINGTON PARKWAY - Active 460 ELLINGTON PARKWAY LEWISBURG, TN 37091-2915, US</t>
  </si>
  <si>
    <t>LEWISBURG</t>
  </si>
  <si>
    <t>BACKROOM / Plumbing / Water Lines / Damaged / No water flowing from faucets in bathroom or faucets . Please assess and repair as needed to restore water service.</t>
  </si>
  <si>
    <t>006896 (57 - 566) 006896 - STORE - CARTHAGE - NY - CTH - 1 N BROAD ST - Active 1 N BROAD ST CARTHAGE, NY 13619, US</t>
  </si>
  <si>
    <t>CARTHAGE</t>
  </si>
  <si>
    <t>BACKROOM / Plumbing / Water Lines / Damaged . There was a hole cut in the interior wall and left with sharp metal exposed that is a definite safety risk. The hole should have been covered with an access panel, not left where someone cut easily cut themself on exposed sharp metal edges! The exterior repairs were done poorly and not even sealed.</t>
  </si>
  <si>
    <t>CARMACK</t>
  </si>
  <si>
    <t>RESTROOM / Plumbing / Water Lines / Frozen / Water is frozen.</t>
  </si>
  <si>
    <t>Sewer smell</t>
  </si>
  <si>
    <t>RESTROOM / Plumbing / Sewage Piping / Odor - Interior / Store has repeated sewer odor.</t>
  </si>
  <si>
    <t>Partial lighting outage</t>
  </si>
  <si>
    <t>SHOWROOM / Lighting / Interior Lighting / Partial lighting outage / CURRENTLY HAVE THE PARTS JUST NEEDED FIXED/INSTALLED.</t>
  </si>
  <si>
    <t>Sewage</t>
  </si>
  <si>
    <t>004745 (27 - 454) 004745 - STORE - RICHMOND - VA - RI3 - 3911 JEFFERSON DAVIS HWY - Active 3911 JEFFERSON DAVIS HWY RICHMOND, VA 23234-2633, US</t>
  </si>
  <si>
    <t>RESTROOM / Plumbing / Sewage Piping / Clogged/Leaking / Both restrooms are backed up and sewage is coming up through the mop sink.</t>
  </si>
  <si>
    <t>EXTERIOR BUILDING / Fence / Trash Enclosure / Repair needed / What type of damage occurred?: Vehicle / Who caused the vehicle damage?: Hauler / Trash enclosure is damaged.</t>
  </si>
  <si>
    <t>002308 (74 - 184) 002308 - STORE - ANGOLA - IN - AGL - 512 NORTH WAYNE STREET - Active 512 NORTH WAYNE STREET ANGOLA, IN 46703-1002, US</t>
  </si>
  <si>
    <t>ANAGOLA</t>
  </si>
  <si>
    <t>RESTROOM / Plumbing / Water Lines / Leaking / Is this a safety risk to Team Members and/or customers?: Yes / We first noticed an issue with a smell coming from the restrooms. Then there was leaking in the women's restroom along with a smell. We originally thought it was the wax ring, but it is getting worse. Now were are seeing water damage on the walls above the office and bubbling paint in the office. We are also noticing a smell when we turn on the water in the women's restroom.</t>
  </si>
  <si>
    <t>006303 (74 - 334) 006303 - STORE - ELKHART - IN - EH3 - 1400 S NAPPANEE ST - Active 1400 S NAPPANEE ST ELKHART, IN 46516-1517, US</t>
  </si>
  <si>
    <t>ELKHART</t>
  </si>
  <si>
    <t xml:space="preserve">BACKROOM / Plumbing / Water Fountain / Leaking / Is this a safety risk to Team Members and/or customers?: Yes / water fountain has a constant drip and will not drain. water spilling out on the floor. </t>
  </si>
  <si>
    <t>001579 (68 - 154) 001579 - STORE - BAXLEY - GA - BXL - 921 WEST PARKER STREET - Active 921 WEST PARKER STREET BAXLEY, GA 31513-0625, US</t>
  </si>
  <si>
    <t>BAXELY</t>
  </si>
  <si>
    <t>EXTERIOR BUILDING / Fence / Trash Enclosure / Repair needed / What type of damage occurred?: Standard wear and tear / We had the gates fixed a couple months ago, the people who fixed it used regular wooden fence hinges which can not hold the weight of the gate. Well, the hinges have again broken and the gate is inoperable. Gates are now falling off again</t>
  </si>
  <si>
    <t>005294 (12 - 137) 005294 - STORE - DICKSON - TN - DS2 - 904 HIGHWAY 70 E - Active 904 HIGHWAY 70 E DICKSON, TN 37055-2210, US</t>
  </si>
  <si>
    <t>DICKSON</t>
  </si>
  <si>
    <t>SHOWROOM / Door(s) / Front Door / Difficult to open or close / Was this issue caused due to damage to the building?: No / The front door has difficulty closing after it has been opened almost all the way and can be stiff to push open. The door also has issues locking and unlocking resulting in TMs having to pull the door inwards further to get the lock to engage/disengage, the lock also always shows open instead of switching between open and closed when the door is unlocked/locked. The door has also started to lean. Please assess the door and all hardware, repair as needed to restore proper door operation and security</t>
  </si>
  <si>
    <t>P-Trap</t>
  </si>
  <si>
    <t>005890 (57 - 587) 005890 - STORE - JOHNSTOWN - NY - JNY - 138 N COMRIE AVE - Active 138 N COMRIE AVE JOHNSTOWN, NY 12095-1905, US</t>
  </si>
  <si>
    <t>JOHNSTOWN</t>
  </si>
  <si>
    <t>RESTROOM / Plumbing / Toilet/Urinal / Damaged / 2 toilets need p-traps replaced and on shut of valve needs replacement as well</t>
  </si>
  <si>
    <t>004383 (29 - 239) 004383 - STORE - CHICAGO - IL - C25 - 4000 E 106TH ST - Active 4000 E 106TH ST CHICAGO, IL 60617-6339, US</t>
  </si>
  <si>
    <t>CHICAGO</t>
  </si>
  <si>
    <t>SHOWROOM / Door(s) / Front Door / Lock failure / Is the lock causing an issue with opening or closing the store?: Yes / Door latch does not lock or unlock door, you have to use a key to unlock and lock building in am and at night.</t>
  </si>
  <si>
    <t xml:space="preserve">BACKROOM / Electrical / Electrical / Partial outage /  they had no lights. Looking at the store we have lost comms to LCP. Need TO troubleshoot the board. </t>
  </si>
  <si>
    <t>RESTROOM / Plumbing / Toilet/Urinal / Clogged - Entire Bathroom / bathroom keep clogging up and one sink is dripping water. Please assess and repair as needed to restore proper operation.</t>
  </si>
  <si>
    <t>RESTROOM / Plumbing / Floor Drains / Clogged / Floor drain is backing up.</t>
  </si>
  <si>
    <t>005152 (17 - 562) 005152 - STORE - NORTH MANCHESTER - IN - NMR - 1506 STATE RD 114 W - Active 1506 STATE RD 114 W NORTH MANCHESTER, IN 46962-1940, US</t>
  </si>
  <si>
    <t>REPLACEMENT ****** SHOWROOM / Door(s) / Front Door / Damaged  / What type of damage occurred?: Standard wear and tear / Front glass was hit by something and is broken in lower half of door; all spider webbed. The glass has been taped, but I need the door boarded up for safety.</t>
  </si>
  <si>
    <t>Repair and installation</t>
  </si>
  <si>
    <t>004503 (50 - 452) 004503 - STORE - MANCHESTER - NH - MC1 - 445 HOOKSETT RD - Active 445 HOOKSETT RD MANCHESTER, NH 03104-2632, US</t>
  </si>
  <si>
    <t>PARKING LOT / Signage / Restricted Use Signage (No Parking/Tow Away/Etc.) /  Installation Needed / Over night truck driver hit stop sign that is in parking lot. stop sign is completely knocked over. Last repair was not made correctly. They dug a whole and put a cinder block with some other material to jam the stop sign pole in and covered it in dirt.  need to assess and reinstall the sign into the ground, properly- the sign needs to be buried in concrete at code depth/height. (The back of the sign should face Monro Muffler shop, as this sign is supposed to stop customers leaving our parking lot.</t>
  </si>
  <si>
    <t>006344 (58 - 553) 006344 - STORE - EAST HAVEN - CT - EHV - 755 FOXON RD - Active 755 FOXON RD EAST HAVEN, CT 06513, US</t>
  </si>
  <si>
    <t>HAVEN</t>
  </si>
  <si>
    <t>leaking water heater</t>
  </si>
  <si>
    <t>SAIA Freight - NHC 148 Boston Post Road, Orange, CT 06477</t>
  </si>
  <si>
    <t>BOSTON</t>
  </si>
  <si>
    <t xml:space="preserve"> Water is turned off. The sink in the utility room has burst so we’ll need repair for the men’s room off the dock also has frozen pipes, but nothing leaking as of now.</t>
  </si>
  <si>
    <t>Sign</t>
  </si>
  <si>
    <t>SAIA Freight WDE  617 Lambson Lane New Castle, DE 19720</t>
  </si>
  <si>
    <t>NEW CASTLE</t>
  </si>
  <si>
    <t>DE</t>
  </si>
  <si>
    <t>leaking water heater.</t>
  </si>
  <si>
    <t>Beaker Box</t>
  </si>
  <si>
    <t>SAIA Freight - YNG 10855 Market Street N Lima, OH 44452</t>
  </si>
  <si>
    <t>LIMA</t>
  </si>
  <si>
    <t>BACKROOM / Electrical / Breaker Box / Damaged breaker box / The Battery Back-up Box is hardwired in, and we need to have it unwired.</t>
  </si>
  <si>
    <t>SHOWROOM / Electrical / Electrical / Partial outage / Roof leak caused damage to lighting. Leak has been fixed but still no electrical. Lighting is out half the store.</t>
  </si>
  <si>
    <t xml:space="preserve">Leaking </t>
  </si>
  <si>
    <t>RESTROOM / Plumbing / Toilet/Urinal / Leaking / Is this a safety risk to Team Members and/or customers?: No / Plumbing over flowing and flooding men's and women's bathrooms.</t>
  </si>
  <si>
    <t>005174 (14 - 83) 005174 - STORE - SAINT CLAIR - MO - SCR - 1215 N MAIN ST - Active 1215 N MAIN ST SAINT CLAIR, MO 63077, US</t>
  </si>
  <si>
    <t>SAINT CLAIR</t>
  </si>
  <si>
    <t>006084 (27 - 660) 006084 - STORE - ROMNEY - WV - RNY - 24890 NORTHWESTERN PIKE - Active 24890 NORTHWESTERN PIKE ROMNEY, WV 26757-6233, US</t>
  </si>
  <si>
    <t>ROMNEY</t>
  </si>
  <si>
    <t>RESTROOM / Plumbing / Toilet/Urinal / Leaking / Is this a safety risk to Team Members and/or customers?: No / Urinal is leaking water on floor from lower drain pipe.</t>
  </si>
  <si>
    <t>005076 (12 - 91) 005076 - STORE - CLARKSVILLE - TN - CV5 - 1821 MADISON ST - Active 1821 MADISON ST CLARKSVILLE, TN 37043-4903, US</t>
  </si>
  <si>
    <t>EXTERIOR GROUNDS / Fence / Trash Enclosure / Repair needed / What type of damage occurred?: Standard wear and tear /  the trash dumpster needs repaired, the support beam has shifted and the gate doesn't latch anymore and some of the pickets look rough.</t>
  </si>
  <si>
    <t>000925 (59 - 462) 000925 - RELOCATION - SELLERSBURG - IN - SLB - 7404 HIGHWAY 311 - Active 7404 HIGHWAY 311 SELLERSBURG, IN 47172, US</t>
  </si>
  <si>
    <t>SELLERSBURG</t>
  </si>
  <si>
    <t>RESTROOM / Plumbing / Toilet/Urinal / Clogged - Entire Bathroom / Urinal and toilet in Men's bathroom experience water expulsion when Women's toilet is flushed and vise versa.</t>
  </si>
  <si>
    <t>LGS001</t>
  </si>
  <si>
    <t>Lincon Gas Station</t>
  </si>
  <si>
    <t>HVAC</t>
  </si>
  <si>
    <t>Lincoln gas station 170 S Great Rd, Lincoln, MA 01773, USA</t>
  </si>
  <si>
    <t>LINCOLN</t>
  </si>
  <si>
    <t>water heater onsite, needs to be replaced</t>
  </si>
  <si>
    <t>Wires</t>
  </si>
  <si>
    <t>SAIA Freight - SCR 95 2nd Street Wilkes-Barre, PA 18702</t>
  </si>
  <si>
    <t>WILKES-BARRE</t>
  </si>
  <si>
    <t>Electrical line hit on the dock, exposed wire sparking against metal</t>
  </si>
  <si>
    <t>PO-97992</t>
  </si>
  <si>
    <t>Mygrant Glass</t>
  </si>
  <si>
    <t xml:space="preserve">Repair </t>
  </si>
  <si>
    <t>Mygrant glass Suite #14 2040 Century Center Blvd. Irving, TX 75062</t>
  </si>
  <si>
    <t>Irving</t>
  </si>
  <si>
    <t xml:space="preserve">We will need you to quote/ coordinate the following:
1.	Replace damaged ceiling tiles in the offices.
2.	Clean cobwebs from all warehouse walls near the roof trusses.
3.	Remove the building signage, including window and door decals.
4.	Repair sheetrock holes and punctures as needed. 
5.	Service and repair all dock positions and drive-in doors.
 Please provide seperate quotes for each line item. </t>
  </si>
  <si>
    <t>Servo-75243</t>
  </si>
  <si>
    <t>Truist</t>
  </si>
  <si>
    <t>Speed Bumps</t>
  </si>
  <si>
    <t>Truist 10641 Forest Ln, Dallas, TX 75243,</t>
  </si>
  <si>
    <t>Dallas</t>
  </si>
  <si>
    <t>Requesting to furnish and install (6) black and yellow Speed Bumps with the end caps in the drive lane that were damaged during snow / ice removal</t>
  </si>
  <si>
    <t>Servo-75087</t>
  </si>
  <si>
    <t>Truist 1675 Laguna Dr, Rockwall, TX 75087,</t>
  </si>
  <si>
    <t>Rockwall</t>
  </si>
  <si>
    <t>Requesting to furnish and install (2) black and yellow speed bumps with the end caps in the drive lane that were damaged during snow / ice removal</t>
  </si>
  <si>
    <t>Cumberland farms</t>
  </si>
  <si>
    <t>Concrete</t>
  </si>
  <si>
    <t>Cumberland Farms 2700 S Military Trail West Palm Beach, FL</t>
  </si>
  <si>
    <t>Palm Beach</t>
  </si>
  <si>
    <t>Repair area next to sidewalk that leads to the street where landscaping retaining is starting to push into walkway</t>
  </si>
  <si>
    <t>Sprint</t>
  </si>
  <si>
    <t xml:space="preserve">Sprint 2202 Gordon Hwy Augusta, GA </t>
  </si>
  <si>
    <t>Augusta</t>
  </si>
  <si>
    <t xml:space="preserve">small area near diesel area that needs patching and stripe </t>
  </si>
  <si>
    <t>PO-98292</t>
  </si>
  <si>
    <t>Mygrant glass  Suite #14 2040 Century Center Blvd. Irving, TX 75062</t>
  </si>
  <si>
    <t>PO-97733</t>
  </si>
  <si>
    <t>BMO</t>
  </si>
  <si>
    <t>BMO - Portland, OR 905 NE Halsey Street Portland OR 97232</t>
  </si>
  <si>
    <t>Portland</t>
  </si>
  <si>
    <t>Building Exterior &gt; Building/Structure Repair &amp; Maintenance &gt; Structure
Railing bollards in front of main entrance adjacent to drive thru Scuffed and damaged covers need replaced.</t>
  </si>
  <si>
    <t>PO-97980</t>
  </si>
  <si>
    <t>Petro Mart</t>
  </si>
  <si>
    <t>Bollards Repair</t>
  </si>
  <si>
    <t>Petro Mart – 1200 Imperial Main St, Imperial, MO 63052</t>
  </si>
  <si>
    <t>Imperial,</t>
  </si>
  <si>
    <t xml:space="preserve"> Bollards sign replacement. / REPLACE THE BROKEN SIGNAGE HOLDERS AT THE GAS ISLAND BOLLARS</t>
  </si>
  <si>
    <t>PH-012</t>
  </si>
  <si>
    <t>Tom Thumb</t>
  </si>
  <si>
    <t>Pavement</t>
  </si>
  <si>
    <t>Tom Thumb 900068 6853 Hwy 87 N Milton FL</t>
  </si>
  <si>
    <t>Milton</t>
  </si>
  <si>
    <t>Pave the north side of the store (where there is currently gravel), sealcoat and stripe the lot</t>
  </si>
  <si>
    <t>005940 (42 - 379) 005940 - STORE - BELLEVUE - OH - BVU - 888 WEST MAIN STREET - Active 888 WEST MAIN STREET BELLEVUE, OH 44811-9037, US</t>
  </si>
  <si>
    <t>Bellevue</t>
  </si>
  <si>
    <t>EXTERIOR GROUNDS / Mailbox / Mailbox / Damaged mailbox / City snow plow took out store mailbox on main road. Please quote to supply and install new mailbox and post, properly anchored in concrete.</t>
  </si>
  <si>
    <t>Wrentham</t>
  </si>
  <si>
    <t>the ceiling light by door 10 is out.</t>
  </si>
  <si>
    <t>SAIA Freight - NBN 90 Concord Street N Reading, MA 01864</t>
  </si>
  <si>
    <t>Reading</t>
  </si>
  <si>
    <t xml:space="preserve"> Need to replace leaking loose shop windows.</t>
  </si>
  <si>
    <t>Doorbell</t>
  </si>
  <si>
    <t>Install buzzer/doorbell on shop door.</t>
  </si>
  <si>
    <t xml:space="preserve"> Floor replacing</t>
  </si>
  <si>
    <t>Floor in office needs replacing.</t>
  </si>
  <si>
    <t>WOFM0000088661</t>
  </si>
  <si>
    <t>220 Boylston</t>
  </si>
  <si>
    <t>220 Boylston Street, Newton, MA, 02467-2005 Newton, MA 02467-2005</t>
  </si>
  <si>
    <t>Newton</t>
  </si>
  <si>
    <t>Lock/Security - Lock Repair/Replacement
Building Interior:Locks/Keys:Repair/Maintenance:PH tech noted prior that they repaired but this is still not operating as expected, please provide ETA to correct: Handle that you turn when the door is locked for the door on the outside of the building to open it is loose and this is causing the door to not properly lock. Someone came on Friday to fix the door but it is still not closing properly.</t>
  </si>
  <si>
    <t xml:space="preserve">Five Below </t>
  </si>
  <si>
    <t>FIVE BELOW - Beaver Creek2500 N Fairfield Rd.
Dayton, OH 45431, US</t>
  </si>
  <si>
    <t>Dayton</t>
  </si>
  <si>
    <t>RESTROOMS / Plumbing / Floor Drain / Overflowing / coming up from drain when flushing</t>
  </si>
  <si>
    <t>HomeGoods</t>
  </si>
  <si>
    <t>HomeGoods Store Philadelphia, PA - Loc # 1280068 1851 Christopher Columbus Blvd
Philadelphia, PA 19148-2800</t>
  </si>
  <si>
    <t>Philadelphia</t>
  </si>
  <si>
    <t>DOORS / Manual Door / Other / Repair / Rug Closet door is not Closing</t>
  </si>
  <si>
    <t>HomeGoods Store 0646 Gig Harbor WA - Loc # 1280646 4639 Point Fosdick Drive NW
Gig Harbor, WA 98335</t>
  </si>
  <si>
    <t>Gig Harbor</t>
  </si>
  <si>
    <t>LOCKS / Front Door Lock / Thumb Turn / Repair / Far right door thumb lock turns but is not enaging to lock door from
the inside key will work from the outside to lock and unlock.</t>
  </si>
  <si>
    <t>Wall Pack</t>
  </si>
  <si>
    <t xml:space="preserve">Rincon </t>
  </si>
  <si>
    <t>EXTERIOR BUILDING / Lighting / Flood/Spot Light/Wall Pack, Freight Door Light / Partial lighting outage / Which light has an outage?: Wall Pack / Is the outage contained to a light, or all of them?: All / 2 lights on freight door side out.</t>
  </si>
  <si>
    <t xml:space="preserve">Door Repair </t>
  </si>
  <si>
    <t>004811 (42 - 528) 004811 - STORE - MADISON - OH - MSI - 6602 N RIDGE RD - Active 6602 NORTH RIDGE ROAD MADISON, OH 44057-2554, US</t>
  </si>
  <si>
    <t>Madison</t>
  </si>
  <si>
    <t>EXTERIOR BUILDING / Door(s) / Front Door / Cannot open or close door / Was this issue caused due to damage to the building?: No / With the cold weather and ice/snow we are having to keep our front door open while the store is open, otherwise customers try to pull it and think we're closed, so they leave. At night we have been able to close and lock it so far but this morning it took us a half hour and 3 people to get it open using a heat gun and deicer because the door won't close all the way and when it is locked the bottom of the door is not able to close all the way like the top and puts too much pressure on the door latch for it to open as normal.</t>
  </si>
  <si>
    <t xml:space="preserve">Hot Water </t>
  </si>
  <si>
    <t>005679 (57 - 592) 005679 - STORE - SOUTH BURLINGTON - VT - SBV - 1800 SHELBURNE ROAD - Active 1800 SHELBURNE ROAD SOUTH BURLINGTON, VT 05403-7721, US</t>
  </si>
  <si>
    <t>Burlington</t>
  </si>
  <si>
    <t>RESTROOM / Plumbing / Hot Water Heater / No hot water / leaking from tank. Please assess and repair as needed to restore proper plumbing operation and integrity.</t>
  </si>
  <si>
    <t>Weather Stripping</t>
  </si>
  <si>
    <t>000871 (14 - 90) 000871 - STORE - FAIRVIEW HEIGHTS - IL - FVH - 10601 LINCOLN TRAIL - Active 10601 LINCOLN TRAIL FAIRVIEW HEIGHTS, IL 62208-1913, US</t>
  </si>
  <si>
    <t xml:space="preserve">SHOWROOM / Door(s) / Front Door / Weather stripping / What is the issue with the weather stripping?: Missing / SHOWROOM / Door(s) / Front Door / Weather stripping / What is the issue with the weather stripping?: </t>
  </si>
  <si>
    <t>004751 (29 - 467) 004751 - STORE - ORLAND PARK - IL - ODK - 7928 WEST 159TH STREET - Active 7928 WEST 159TH STREET ORLAND PARK, IL 60462-5038, US</t>
  </si>
  <si>
    <t>BACKROOM / Plumbing / Water Lines / Frozen / Multiple pipes frozen and burst in the bathroom of vacant attached building, the pipes are not actively leaking. Main valves are frozen and cannot be shut off. Will continue checking for water flow.</t>
  </si>
  <si>
    <t xml:space="preserve">reassigned </t>
  </si>
  <si>
    <t>006727 (57 - 681) 006727 - STORE - HAMBURG - NY - HB1 - 5534 CAMP RD - Active 5534 CAMP RD HAMBURG, NY 14075, US</t>
  </si>
  <si>
    <t>SHOWROOM / Lighting / Interior Lighting / Partial lighting outage / 8' section of LED lights out on the sales floor. There's a new 8' driver on site to fix the outage.</t>
  </si>
  <si>
    <t xml:space="preserve">Clean Up </t>
  </si>
  <si>
    <t>002693 (44 - 229) 002693 - STORE - LAS VEGAS - NV - LV2 - 1615 NORTH NELLIS BLVD - Active 1615 NORTH NELLIS BLVD LAS VEGAS, NV 89115-6607, US</t>
  </si>
  <si>
    <t>Las Vegas</t>
  </si>
  <si>
    <t xml:space="preserve">EXTERIOR GROUNDS / Landscaping / Landscaping / Grounds clean up / outside of back building there is a Tree all dried up and need removing from grounds. Also have weeds and other trees with branches hanging and </t>
  </si>
  <si>
    <t>Drywall Repair</t>
  </si>
  <si>
    <t>BACKROOM / Wall(s) / Drywall BACKROOM / Wall(s) / Drywall / Cracked/damaged drywall / BACKROOM / Drywall / Mop Sink / Drywall needs repaired below/behind utility sink from plumbing repair.</t>
  </si>
  <si>
    <t>005292 (15 - 679) 005292 - STORE - CARTERSVILLE - GA - CR2 - 1450 JOE FRANK HARRIS PKWY - Active 1450 JOE FRANK HARRIS PKWY CARTERSVILLE, GA 30120-1909, US</t>
  </si>
  <si>
    <t xml:space="preserve">BACKROOM / Wall(s) / Drywall / Cracked/damaged drywall / Had pipe bust in backroom on 1/27 and drywall had to be ripped out to access the busted pipe for repair. We need the drywall repaired and an access panel </t>
  </si>
  <si>
    <t>004950 (63 - 471) 004950 - STORE - SANFORD - FL - SD1 - 2508 FRENCH AVENUE - Active 2508 FRENCH AVENUE SANFORD, FL 32773-5320, US</t>
  </si>
  <si>
    <t>HQ USE / HQ USE - Electrical / Counters / Counter Exchange / Please help with any power issues that may arise while converting the counters.</t>
  </si>
  <si>
    <t xml:space="preserve">General Contractor </t>
  </si>
  <si>
    <t>006713 (59 - 172) 006713 - STORE - MORGANTOWN - KY - MGT - 271 W GL SMITH ST - Active 271 W GL SMITH ST MORGANTOWN, KY 42261, US</t>
  </si>
  <si>
    <t>PARKING LOT / Parking Stops / Parking Stops / Parking stop(s) damaged / Is this a trip and fall hazard?: Yes / How many parking stop(s) are damaged?: 2 / Store has several damaged parking stops.</t>
  </si>
  <si>
    <t xml:space="preserve">Water Fountain </t>
  </si>
  <si>
    <t>001667 (68 - 609) 001667 - STORE - SWAINSBORO - GA - SWB - 508 SOUTH MAIN STREET - Active 508 SOUTH MAIN STREET SWAINSBORO, GA 30401-4800, US</t>
  </si>
  <si>
    <t xml:space="preserve">BACKROOM / Plumbing / Water Fountain / Leaking / Is this a safety risk to Team Members and/or customers?: No / will not drain, gets stuck while in use, nasty brown water stagnant in basin. Please clear the obstruction and test flow. </t>
  </si>
  <si>
    <t xml:space="preserve">Freight Door </t>
  </si>
  <si>
    <t>006909 (27 - 395) 006909 - STORE - VIRGINIA BEACH - VA - VB7 - 5036 FERRELL PKWY - Active 5036 FERRELL PKWY VIRGINIA BEACH, VA 23464, US</t>
  </si>
  <si>
    <t xml:space="preserve">BACKROOM / Door(s) / Freight Door - Overhead / Cannot open or close door / Was this issue caused due to damage to the building?: No / Store reports both the overhead door and the man door need to be repaired. The "rope next to the chain is frayed and about to break." And the man door is difficult to open and close. </t>
  </si>
  <si>
    <t>004492 (30 - 261) 004492 - STORE - BELFAIR - WA - BFR - 23030 NE STATE ROUTE 3 - Active 23030 NE STATE ROUTE 3 BELFAIR, WA 98528-9334, US</t>
  </si>
  <si>
    <t>RESTROOM / Plumbing / Water Lines / Leaking / Is this a safety risk to Team Members and/or customers?: Yes / Water is leaking from pipe coming out of wall or behind wall. turned off water at wall seems to have stopped leak. no water for sinks.</t>
  </si>
  <si>
    <t>BACKROOM / Plumbing / Mop Sink / Sink is leaking / The mop sink still leaking in same spot.</t>
  </si>
  <si>
    <t>006854 (57 - 566) 006854 - STORE - ITHACA - NY - IT1 - 710 S MEADOW ST - Active 710 S MEADOW ST Ste 500 ITHACA, NY 14850, US</t>
  </si>
  <si>
    <t>BACKROOM / Door(s) / Freight Door - Overhead / Damaged / What type of damage occurred?: Standard wear and tear / Door will not stay open. Please assess and repair as needed to restore proper door operation and safety.</t>
  </si>
  <si>
    <t>001970 (26 - 149) 001970 - STORE - SUMTER - SC - SR1 - 600 BROAD STREET - Active 600 BROAD STREET SUMTER, SC 29150-3308, US</t>
  </si>
  <si>
    <t>Q USE / HQ USE - Plumbing / Hot Water Heater / Replacement Needed / RESTROOM  / No Hot water in restrooms. Please replace the water heater for a 6 gallon tanked Water heater, we Will provide a replacement. Please  move plumbing lines and electrical so the Water heater can be mounted above the restroom ceiling or a spot up out of the way.</t>
  </si>
  <si>
    <t>006533 (11 - 564) 006533 - STORE - DALEVILLE - AL - DEV - 159 OLD HWY 134 - Active 159 OLD HWY 134 DALEVILLE, AL 36322, US</t>
  </si>
  <si>
    <t>DALEVILLE</t>
  </si>
  <si>
    <t xml:space="preserve">RESTROOM / Plumbing / Toilet/Urinal / Clogged - Singular / both bathroom toilets are clogged. </t>
  </si>
  <si>
    <t>003003 (38 - 548) 003003 - STORE - MADERA - CA - MD2 - 301 WEST OLIVE AVENUE - Active 301 WEST OLIVE AVENUE MADERA, CA 93637-5495, US</t>
  </si>
  <si>
    <t>BACKROOM / Plumbing / Natural Gas/Propane System / Leaking - Interior / How were you informed of the leak?: Utility Company / Utility bills note there has been a high usage of gas at this store over the last few months. Please inspect all gas lines and equipment connected to the gas. Report any leaks and equipment deficiencies that need to be repaired.</t>
  </si>
  <si>
    <t>001698 (12 - 137) 001698 - STORE - DICKSON - TN - DS1 - 534 HIGHWAY 46 SOUTH - Active 534 HIGHWAY 46 SOUTH DICKSON, TN 37055-2526, US</t>
  </si>
  <si>
    <t>RESTROOM / Plumbing / Mop Sink / Sink is leaking / Faucet for the mop sink in the Men's restroom is leaking.</t>
  </si>
  <si>
    <t>004311 (17 - 122) 004311 - STORE - GREENSBURG - IN - GNG - 1607 N LINCOLN ST - Active 1607 N LINCOLN ST GREENSBURG, IN 47240-1271, US</t>
  </si>
  <si>
    <t>RESTROOM / Plumbing / Hot Water Heater / No hot water / no hot water in deep sink or women's restroom // Make repairs to restore the hot water.</t>
  </si>
  <si>
    <t>006969 (57 - 664) 006969 - STORE - ROCHESTER - NY - RH4 - 711 E RIDGE RD - Active 711 E RIDGE RD ROCHESTER, NY 14621, US</t>
  </si>
  <si>
    <t>BACKROOM / Door(s) / Freight Door - Non-Overhead / Cannot open or close door /  they're having issues with the store sticking. Sometimes the door sticks so badly that the door can not be opened.</t>
  </si>
  <si>
    <t xml:space="preserve">RESTROOM / Plumbing / Toilet/Urinal / Clogged - Singular /  camera the line. </t>
  </si>
  <si>
    <t>BACKROOM / Plumbing / Mop Sink / Sink is clogged / clogged sink in break room, took P-trap out no visible clogs. turned off water to sink.</t>
  </si>
  <si>
    <t>005355 (27 - 541) 005355 - STORE - KILMARNOCK - VA - KRK - 514 N MAIN ST - Active 514 N MAIN ST KILMARNOCK, VA 22482-3828, US</t>
  </si>
  <si>
    <t>Wall around the backroom door needs to be repaired from water damage.</t>
  </si>
  <si>
    <t>005693 (57 - 502) 005693 - STORE - LANCASTER - NH - LCR - 168 MAIN STREET - Active 168 MAIN STREET LANCASTER, NH 03584-3033, US</t>
  </si>
  <si>
    <t>SHOWROOM / Lighting / Interior Lighting / Partial lighting outage / Store reports a lighting outage in the showroom and another in the back room. Please assess the bulbs and ballasts and repair as needed to restore proper lighting to the fixtures.</t>
  </si>
  <si>
    <t>001361 (55 - 539) 001361 - STORE - WAYNESBORO - GA - WBR - 1225 N LIBERTY STREET - Active 1225 N LIBERTY STREET WAYNESBORO, GA 30830-3402, US</t>
  </si>
  <si>
    <t xml:space="preserve">RESTROOM / Plumbing / Toilet/Urinal / Clogged - Singular / Toilet is clogged and after several attempts to unclog we have been unsuccessful. Please clear the clog and test the flow. </t>
  </si>
  <si>
    <t>SHOWROOM / Electrical / Outlet(s) / Additional Needed / Front counter computers require a power strip be used next to the switch so the switch does not have a dedicated outlet and as a result it is leading to the workstations randomly dropping because the power strip can't handle the amount of devices. We also have a fridge and other appliances taking up outlet space. Ideally we'd like an outlet so network switch 3 has a dedicated direct run.</t>
  </si>
  <si>
    <t>005552 (50 - 491) 005552 - STORE - FITCHBURG - MA - FH1 - 525 JOHN FITCH HIGHWAY - Active 525 JOHN FITCH HIGHWAY FITCHBURG, MA 01420-8403, US</t>
  </si>
  <si>
    <t>HOWROOM / Lighting / Interior Lighting / Partial lighting outage / Store has TWO 8' light fixtures acting up - one has a 4ft section that's starting to dim, the other has a 4ft section that flickers. There are 2 new 8' LED drivers on site (each driver controls one 8' fixture),</t>
  </si>
  <si>
    <t>002461 (27 - 454) 002461 - STORE - CHESTER - VA - CV1 - 11709 ROUTE 1 - Active 11709 ROUTE 1 CHESTER, VA 23831, US</t>
  </si>
  <si>
    <t>BACKROOM / Plumbing / Water Lines / Damaged / Very low water pressure in the building at the moment.</t>
  </si>
  <si>
    <t>Vehicle backed into handicap sign pole and may have damaged the base. Please investigate and assessfor repairs as necessary to get the handicap sign back up properly.</t>
  </si>
  <si>
    <t>001159 (13 - 414) 001159 - STORE - GATE CITY - VA - GTC - 178 KANE STREET - Active 456 KANE STREET GATE CITY, VA 24251-3407, US</t>
  </si>
  <si>
    <t>BACKROOM / Painting / Door(s) / Needs painting / Newly installed double freight door needs to be painted to match exterior wall.</t>
  </si>
  <si>
    <t>005276 (58 - 524) 005276 - STORE - VERNON - CT - VNN - 504 TALCOTTVILLE RD - Active 504 TALCOTTVILLE RD VERNON, CT 06066-4019, US</t>
  </si>
  <si>
    <t>HQ USE / HQ USE - Plumbing / Hot Water Heater / Replacement Needed / Store has a 19.9 gal water heater in need of replacement. Store has water shut off to the existing unit.</t>
  </si>
  <si>
    <t>005946 (58 - 571) 005946 - STORE - WAREHAM - MA - WRM - 3066 CRANBERRY HWY - Active 3066 CRANBERRY HWY STE 100 WAREHAM, MA 02538, US</t>
  </si>
  <si>
    <t>BACKROOM / Plumbing / Water Fountain / Damaged/No Cool / The store has a new water fountain filter on site and needs  to install it.</t>
  </si>
  <si>
    <t>3/17/026</t>
  </si>
  <si>
    <t>005988 (58 - 665) 005988 - STORE - NEW WINDSOR - NY - NWS - 120 TEMPLE HILL RD - Active 120 TEMPLE HILL RD NEW WINDSOR, NY 12553, US</t>
  </si>
  <si>
    <t>New Windsor</t>
  </si>
  <si>
    <t>SHOWROOM / Wall(s) / Block Wall / Damaged Block Wall / Is this a safety risk to Team Members and/or customers?: Yes / When it rains, the store floods in at least 5 places, water leaks under the wall. Poses a safety concern to customers and team members.</t>
  </si>
  <si>
    <t>EXTERIOR BUILDING / Fence / Trash Enclosure / Repair needed / What type of damage occurred?: Standard wear and tear /  the enclosure needs locking mechanism added. Also, the gates are broken do not close properly, they overlap.</t>
  </si>
  <si>
    <t>Drywall</t>
  </si>
  <si>
    <t>002288 (15 - 419) 002288 - RELOCATION - GAINESVILLE - GA - GS1 - 1308 BROWNS BRIDGE RD - Active 1308 BROWNS BRIDGE RD GAINESVILLE, GA 30501-6171, US</t>
  </si>
  <si>
    <t>HQ USE / HQ USE - Wall(s) / Showroom / Battery Rack Drywall Demo / Please begin the demo of 4’ of wall by the battery rack. We will need this demo area finished and painted. If a structural post exists in this area, leave the post and demo the remainder of the wall.</t>
  </si>
  <si>
    <t>004654 (56 - 235) 004654 - STORE - ERIE - PA - EE1 - 2120 BROAD ST - Active 2120 BROAD ST ERIE, PA 16503-2536, US</t>
  </si>
  <si>
    <t xml:space="preserve">SHOWROOM / Door(s) / Front Door / Door closer issue / What type of issue?: Damaged / Front door is hard to shut and is broken at the top part by the hinge. </t>
  </si>
  <si>
    <t xml:space="preserve">Justin Walter </t>
  </si>
  <si>
    <t>004333 (17 - 422) 004333 - STORE - WESTFIELD - IN - WSD - 3246 E STATE ROAD 32 - Active 3246 E STATE ROAD 32 WESTFIELD, IN 46074-8731, US</t>
  </si>
  <si>
    <t>RESTROOM / Plumbing / Toilet/Urinal / Clogged - Singular / We are having issues with the toilets starting to back up.</t>
  </si>
  <si>
    <t>002579 (38 - 218) 002579 - RELOCATION - SAN LUIS OBISPO - CA - SLO - 146 SOUTH STREET - Active 146 SOUTH STREET SAN LUIS OBISPO, CA 93401-5034, US</t>
  </si>
  <si>
    <t>SAN LUIS OBISPO</t>
  </si>
  <si>
    <t>EXTERIOR BUILDING / Door(s) / Freight Door - Overhead / Cannot open or close door / Was this issue caused due to damage to the building?: No / Overhead is main door to enter and open store, top latch on overhead door is not releasing and keeping door shut. Unable to enter store for opening.</t>
  </si>
  <si>
    <t>001758 (12 - 540) 001758 - STORE - CHAPEL HILL - TN - CPH - 139 SOUTH HORTON PARKWAY - Active 139 SOUTH HORTON PARKWAY CHAPEL HILL, TN 37034-3139, US</t>
  </si>
  <si>
    <t>CHAPEL HILL</t>
  </si>
  <si>
    <t>PARKING LOT / Parking Stops / Parking Stops / Parking stop(s) damaged / Is this a trip and fall hazard?: Yes / How many parking stop(s) are damaged?: 2 / Store has 2 damaged parking stops.</t>
  </si>
  <si>
    <t>002570 (31 - 219) 002570 - STORE - SANTA ROSA - CA - SR1 - 1543 FARMERS LANE - Active 1543 FARMERS LANE SANTA ROSA, CA 95405-7525, US</t>
  </si>
  <si>
    <t>SANTA ROSA</t>
  </si>
  <si>
    <t>RESTROOM / Plumbing / Sink / Sink is clogged / One of the bathroom sinks is clogged and water is not going down at all.</t>
  </si>
  <si>
    <t>006453 (26 - 149) 006453 - STORE - TIMMONSVILLE - SC - TMV - 313 E SMITH ST - Active 313 E SMITH ST TIMMONSVILLE, SC 29161, US</t>
  </si>
  <si>
    <t>EXTERIOR GROUNDS / Plumbing / Water Faucet/Hydrant/Spigot / Leaking / Is this a safety risk to Team Members and/or customers?: No / it is leaking behind the cutoff. I cant see where but see the water flowing after getting water level down.</t>
  </si>
  <si>
    <t>007071 (13 - 655) 007071 - STORE - ELIZABETHTON - TN - EL2 - 2031 W ELK AVE - Active 2031 W ELK AVE ELIZABETHTON, TN 37643, US</t>
  </si>
  <si>
    <t>RESTROOM / Plumbing / Toilet/Urinal / Clogged - Entire Bathroom / Men's toilet and urinal backed up. Also, there is a strong sewer gas smell coming from the back that can be smelled up front near the registers and hard parts area.</t>
  </si>
  <si>
    <t>002943 (47 - 295) 002943 - STORE - FALLON - NV - FAL - 1890 WEST WILLIAMS AVENUE - Active 1890 WEST WILLIAMS AVENUE FALLON, NV 89406-2648, US</t>
  </si>
  <si>
    <t>BACKROOM / Lighting / Interior Lighting / Partial lighting outage / Light above girls bathroom is going on and off.  LED driver is on site at the store. Please use supplied driver to fix the outage as need for correct operation.</t>
  </si>
  <si>
    <t>troubleshoot</t>
  </si>
  <si>
    <t>000969 (54 - 483) 000969 - RELOCATION - SELMER - TN - SMR - 735 MULBERRY AVENUE - Active 735 MULBERRY AVENUE SELMER, TN 38375-2333, US</t>
  </si>
  <si>
    <t>BACKROOM / Electrical / Electrical / Partial outage / PLEASE troubleshoot the Surveyor Data Concentrator (5 by 7 blue box by the lighting overrides that says "SURVEYOR") and tone Cat 5 cable at this site.  There is no communication with the LIGHTING or HVAC = the Energy Management System: Surveyor. The EMS Surveyor is failing to communicate.</t>
  </si>
  <si>
    <t>006893 (57 - 675) 006893 - STORE - LOCKPORT - NY - LP1 - 459 S TRANSIT ST - Active 459 S TRANSIT ST LOCKPORT, NY 14094, US</t>
  </si>
  <si>
    <t>RESTROOM / Plumbing / Toilet/Urinal / Clogged - Entire Bathroom / Both the mens and ladies toilets are backed up once again. They have not backed up through the floor drain as of yet. Please assess and repair as needed to restore proper plumbing operation.</t>
  </si>
  <si>
    <t>BACKROOM / Electrical / Outlet(s) / Violation received / No violation. Please remount the fallen strobe light</t>
  </si>
  <si>
    <t>006444 (54 - 106) 006444 - STORE - MEMPHIS - TN - M18 - 1795 SYCAMORE VIEW RD - Active 1795 SYCAMORE VIEW RD MEMPHIS, TN 38134, US</t>
  </si>
  <si>
    <t>PARKING LOT / Parking Stops / Parking Stops / Parking stop(s) damaged / Is this a trip and fall hazard?: Yes / How many parking stop(s) are damaged?: 1 / One of the parking stops was damaged when the parking lot got plowed during the recent ice storm.</t>
  </si>
  <si>
    <t>001284 (54 - 483) 001284 - STORE - JACKSON - TN - JC2 - 1300 SOUTH HIGHLAND - Active 1300 SOUTH HIGHLAND JACKSON, TN 38301-7369, US</t>
  </si>
  <si>
    <t xml:space="preserve">RESTROOM / Plumbing / Hot Water Heater / No hot water / water heater leaking water rapidly. water has been turned off. </t>
  </si>
  <si>
    <t>004619 (27 - 600) 004619 - STORE - WAYNESBORO - VA - WSB - 2111 W MAIN ST - Active 2111 W MAIN ST WAYNESBORO, VA 22980-1743, US</t>
  </si>
  <si>
    <t>SHOWROOM / Lighting / Interior Lighting / Partial lighting outage / Store has (2) 8ft fixtures out. Replacements LED Drivers are onsite ready to be installed.</t>
  </si>
  <si>
    <t>001298 (59 - 139) 001298 - STORE - SOMERSET - KY - SM1 - 692 SOUTH HIGHWAY 27 - Active 692 SOUTH HIGHWAY 27 SOMERSET, KY 42501-3506, US</t>
  </si>
  <si>
    <t>EXTERIOR GROUNDS / Fence / Trash Enclosure / Repair needed / What type of damage occurred?: Standard wear and tear / Dumpster/Trash area door falling off. Needs repaired/replaced.</t>
  </si>
  <si>
    <t>Latching</t>
  </si>
  <si>
    <t>001697 (59 - 462) 001697 - STORE - NEW ALBANY - IN - NA1 - 2124 SPRING STREET - Active 2124 SPRING STREET NEW ALBANY, IN 47150-1565, US</t>
  </si>
  <si>
    <t>NEW ALBANY</t>
  </si>
  <si>
    <t>EXTERIOR GROUNDS / Fence / Trash Enclosure / Repair needed / What type of damage occurred?: Vandalism / Latch on trash gate broken, gate will no longer latch.</t>
  </si>
  <si>
    <t>005696 (57 - 592) 005696 - STORE - ENOSBURG FALLS - VT - EBG - 413 MAIN STREET - Active 413 MAIN STREET ENOSBURG FALLS, VT 05450-6026, US</t>
  </si>
  <si>
    <t>BACKROOM / Electrical / Outlet(s) / Additional Needed / Need  to run 2 new 240 amp breakers so store can plug in heaters in the new building expansion space.</t>
  </si>
  <si>
    <t>001860 (45 - 584) 001860 - STORE - ORANGE PARK - FL - OP1 - 1980 WELLS ROAD - Active 1980 WELLS ROAD STE 2 ORANGE PARK, FL 32073-2229, US</t>
  </si>
  <si>
    <t>BACKROOM / Lighting / Interior Lighting / Complete lighting outage / Freight driver states that when she drops off there is no lighting in the interior returns area. The lights work after 6:30am EST. There are two lights out directly over the back door that may be the problem.</t>
  </si>
  <si>
    <t>RESTROOM / Plumbing / Toilet/Urinal / Clogged - Entire Bathroom / Fecal material is coming out of the floor drain in the women's bathroom when toilet is flushed. Please assess and repair as needed to restore proper plumbing operation.</t>
  </si>
  <si>
    <t>HQ USE / HQ USE - Plumbing / Hot Water Heater "Equip:" 001970 - WTR - HTR - 1.0, "Brand" RHEEM, "Model #"PROE6 1 RH POU, "Serial #"38UN65 / Replacement Needed /  RESTROOM / Plumbing / Hot Water Heater / No hot water / No Hot water in restrooms. Please return and have the water heater mounted up off the ground like proposed.</t>
  </si>
  <si>
    <t>BACKROOM / Door(s) / Freight Door - Overhead / Damaged  / What type of damage occurred?: Standard wear and tear / their Overhead freight door is needing a overhaul, its tough to operate, the slide lock is not working, the tracks are warped etc.</t>
  </si>
  <si>
    <t>002831 (32 - 259) 002831 - STORE - PHOENIX - AZ - P14 - 17245 NORTH TATUM BLVD - Active 17245 NORTH TATUM BLVD PHOENIX, AZ 85032-9345, US</t>
  </si>
  <si>
    <t>RESTROOM / Plumbing / Toilet/Urinal / Damaged / men's restroom toilet also broken. clogs easily and flushes slow.</t>
  </si>
  <si>
    <t>003581 (47 - 581) 003581 - STORE - RENO - NV - RN5 - 91 DAMONTE RANCH PARKWAY - Active 91 DAMONTE RANCH PARKWAY RENO, NV 89521-2996, US</t>
  </si>
  <si>
    <t>BACKROOM / Plumbing / Mop Sink / Sink is damaged / Our mop/laundry sink is missing legs, has unremovable residue, and a leaky faucet and needs to be replaced. The drain below it is also heavily clogged and plunging it does not fix it.</t>
  </si>
  <si>
    <t>RESTROOM / Plumbing / Toilet/Urinal / Damaged / The tank on our women's room toilet cracked and broke, the toilet is no longer functional, need new toilet.</t>
  </si>
  <si>
    <t>Flushing Issue</t>
  </si>
  <si>
    <t>RESTROOM / Plumbing / Toilet/Urinal / Clogged - Entire Bathroom / Women's bathroom will not flush. Men's bathroom will flush but has overflow coming out of the floor drain.</t>
  </si>
  <si>
    <t>005201 (59 - 150) 005201 - STORE - MOUNT WASHINGTON - KY - MWG - 10572 HIGHWAY 44 E - Active 10572 HIGHWAY 44 E MOUNT WASHINGTON, KY 40047, US</t>
  </si>
  <si>
    <t>MOUNT WASHINGTON</t>
  </si>
  <si>
    <t>BACKROOM / Door(s) / Freight Door / Per SM double freight door needs to be adjusted. The top hinge and door closer are failing.</t>
  </si>
  <si>
    <t>006853 (57 - 681) 006853 - STORE - FREDONIA - NY - FRD - 10374 BENNETT RD - Active 10374 BENNETT RD FREDONIA, NY 14063, US</t>
  </si>
  <si>
    <t>EXTERIOR BUILDING / Door(s) / Front Door / Damaged / What type of damage occurred?: Standard wear and tear / Front door very difficult to unlock in the morning. Actuator handle works fine when door is in the open position but not when it is closed. The flipper that engages into the frame gets stuck and hangs up and you have to shake the door repeatedly and flip the handle multiple times and it is getting worse. Tried lube spray doesn't help.</t>
  </si>
  <si>
    <t>Lighting Pole</t>
  </si>
  <si>
    <t>002256 (11 - 564) 002256 - STORE - GENEVA - AL - GNV - 1620 WEST MAGNOLIA AVENUE - Active 1620 WEST MAGNOLIA AVENUE GENEVA, AL 36340-1237, US</t>
  </si>
  <si>
    <t>PARKING LOT / Lighting / Pole Lighting / Partial lighting outage / Is the outage contained to a singular pole, or the entire parking lot?: Singular Pole /  pole light in front of the store is not working.</t>
  </si>
  <si>
    <t>RESTROOM / Plumbing / Toilet/Urinal / Leaking / Is this a safety risk to Team Members and/or customers?: No / Toilet bowl cracked requesting full replacement / Send ADA compliant toilet. Handle needs to be facing the non wall side.</t>
  </si>
  <si>
    <t>001192 (13 - 414) 001192 - STORE - BRISTOL - TN - BT1 - 516 VOLUNTEER PARKWAY - Active 516 VOLUNTEER PARKWAY BRISTOL, TN 37620-2255, US</t>
  </si>
  <si>
    <t>EXTERIOR GROUNDS / Wall(s) / Block Wall / Cracked/damaged block wall / leaking under exterior wall into showroom floor, possible gutter issue</t>
  </si>
  <si>
    <t>001654 (54 - 108) 001654 - STORE - RIPLEY - TN - RPL - 443 ROBESON STREET - Active 443 ROBESON STREET RIPLEY, TN 38063-1270, US</t>
  </si>
  <si>
    <t>BACKROOM / Plumbing / Water Fountain / Leaking / Is this a safety risk to Team Members and/or customers?: No / The water fountain started leaking. even with water valve closed it is still leaking. The valve in wall mus be leaking past, but water is dripping from a diff location other than the valve.</t>
  </si>
  <si>
    <t>002326 (74 - 233) 002326 - STORE - SYLVANIA - OH - SY1 - 5118 W ALEXIS RD - Active 5118 W ALEXIS RD SYLVANIA, OH 43560-2501, US</t>
  </si>
  <si>
    <t>BACKROOM / Plumbing / Water Faucet/Hydrant/Spigot / Leaking / Is this a safety risk to Team Members and/or customers?: No / Men's restroom bathroom sink - constant drip/running. Difficult to keep at just a drip and not find running.</t>
  </si>
  <si>
    <t xml:space="preserve">003630 (70 - 266) 003630 - RELOCATION - KENNEWICK - WA - KW1 - 824 WEST VINEYARD DRIVE - Active 824 WEST VINEYARD DRIVE KENNEWICK, WA 99336-5579, US
</t>
  </si>
  <si>
    <t xml:space="preserve">RESTROOM / Plumbing / Sink / Sink is clogged / Sink in the women's bathroom is clogged. </t>
  </si>
  <si>
    <t>006044 (58 - 353) 006044 - STORE - HALIFAX - MA - HFX - 330 PLYMOUTH ST - Active 330 PLYMOUTH ST HALIFAX, MA 02338, US</t>
  </si>
  <si>
    <t>ST HALIFAX</t>
  </si>
  <si>
    <t>XTERIOR GROUNDS / Fence / Trash Enclosure / Repair needed / What type of damage occurred?: Vehicle / Who caused the vehicle damage?: Hauler / truck backed into our trash enclosure</t>
  </si>
  <si>
    <t>Sewage system</t>
  </si>
  <si>
    <t>001198 (18 - 174) 001198 - STORE - LEEDS - AL - LDS - 1561 ASHVILLE ROAD - Active 1561 ASHVILLE ROAD LEEDS, AL 35094-7503, US</t>
  </si>
  <si>
    <t>EXTERIOR BUILDING / Plumbing / Sewer Lift Station / Clogged - Exterior / The sewage system every time you flush the toilets water is flowing out outside and it smells terrible. Please clear the clog and test flow.</t>
  </si>
  <si>
    <t>002051 (45 - 367) 002051 - STORE - JACKSONVILLE - FL - JV3 - 7630 MERRILL ROAD - Active 7630 MERRILL ROAD JACKSONVILLE, FL 32277-3713, US</t>
  </si>
  <si>
    <t>RESTROOM / Plumbing / Sink / Sink is clogged / Ladies restroom sink clogged. Already tried draino and it work temporarily but it is clogged again and draino is not working.</t>
  </si>
  <si>
    <t>006304 (58 - 351) 006304 - STORE - NORTH KINGSTOWN - RI - NKT - 7570 POST RD - Active 7570 POST RD NORTH KINGSTOWN, RI 02852-3901, US</t>
  </si>
  <si>
    <t>RESTROOM / Plumbing / Toilet/Urinal / Leaking / Is this a safety risk to Team Members and/or customers?: Yes / When flushing, water is spraying all over the place and leaking. Please assess and repair as needed to restore proper plumbing operation.</t>
  </si>
  <si>
    <t>002600 (38 - 227) 002600 - STORE - FRESNO - CA - FR1 - 6405 NORTH BLACKSTONE AVE - Active 6405 NORTH BLACKSTONE AVE FRESNO, CA 93710-3508, US</t>
  </si>
  <si>
    <t>RESTROOM / Plumbing / Toilet/Urinal / Leaking / Is this a safety risk to Team Members and/or customers?: No / toilet leaking from underneath, near the ground</t>
  </si>
  <si>
    <t>006430 (45 - 674) 006430 - STORE - SAINT AUGUSTINE - FL - SA2 - 4355 US HIGHWAY 1 S - Active 4355 US HIGHWAY 1 S SAINT AUGUSTINE, FL 32086, US</t>
  </si>
  <si>
    <t>SHOWROOM / Lighting / Interior Lighting / Partial lighting outage / Section of lights out on sales floor and we have a few flickering lights in the back room. (2) new drivers are on site and need to be installed.</t>
  </si>
  <si>
    <t>SAIA Freight- 345 Rocus Street Springfield, MA 01104</t>
  </si>
  <si>
    <t>Springfield</t>
  </si>
  <si>
    <t xml:space="preserve"> The facility is completely without water.  Line possibly needs to be heated due to frozen pipes.</t>
  </si>
  <si>
    <t>Clogged Drain</t>
  </si>
  <si>
    <t>SAIA Freight - 80 Roadway Dr. Carlisle, PA 17015</t>
  </si>
  <si>
    <t>Carlisle</t>
  </si>
  <si>
    <t>The drain in the men's bathroom in the shop is clogged</t>
  </si>
  <si>
    <t>SAIA Freight - NHC 148 Boston Post Road Orange, CT 6477</t>
  </si>
  <si>
    <t>Orange</t>
  </si>
  <si>
    <t>Faucet in men’s bathroom for employees needs repair or replacement. Employees cannot wash their hands.</t>
  </si>
  <si>
    <t>SAIA Freight NBN - 90 Concord Street N Reading, MA 01864</t>
  </si>
  <si>
    <t>Plumbing Damaged leaking pipe outside shop near fuel island.</t>
  </si>
  <si>
    <t>SAIA Freight - PGH 595 Meadowlands Blvd. Washington, PA 15301</t>
  </si>
  <si>
    <t>Washington</t>
  </si>
  <si>
    <t xml:space="preserve"> door handle loose causing the door handle to twist when locked and door opens</t>
  </si>
  <si>
    <t>Spigot</t>
  </si>
  <si>
    <t>SAIA Freight - BNY 410 Grand Island Blvd Tonawanda, NY 14150</t>
  </si>
  <si>
    <t>Tonawanda</t>
  </si>
  <si>
    <t>Outside spigot burst/broke, flooding lot. Turned water off at shutoff.</t>
  </si>
  <si>
    <t>Septic Tank</t>
  </si>
  <si>
    <t>SAIA Freight 4315 Albany St Colonie, NY 12205</t>
  </si>
  <si>
    <t>Colonie</t>
  </si>
  <si>
    <t xml:space="preserve"> Septic tank underground at the front of the building is backed up causing sewage to overflow onto pavement.</t>
  </si>
  <si>
    <t>SAIA Freight - PHI 1618 Union Ave Pennsauken, NJ 08110</t>
  </si>
  <si>
    <t>Pennsauken</t>
  </si>
  <si>
    <t>The sink in office floor men's room - the mop basin has a running faucet. Valve are turned off but continues to run and getting worse.</t>
  </si>
  <si>
    <t>SAIA Freight - ALN 350-352 Stoke Park Rd. Bethlehem, PA 18017</t>
  </si>
  <si>
    <t>Bethlehem</t>
  </si>
  <si>
    <t>Pipe busted due to cold temperatures. No active leak.</t>
  </si>
  <si>
    <t>SAIA Freight - NWK 580 Delancy Street Newark, NJ 07105</t>
  </si>
  <si>
    <t>Toilet in shop bathroom is clogged. Line needs jet stream to clear it. Sewage running out to the street.</t>
  </si>
  <si>
    <t>SAIA Freight HBG 80 Roadway Drive Carlisle, PA 17015</t>
  </si>
  <si>
    <t>Plumbing | Clogged Toilet / Sink / Drain 
The mechanics sink in the hallway by the vending machines keeps backing up. We have been able to plunge it to get it open but backs up often. Can we get someone out to snake the drain for a more permanent solution</t>
  </si>
  <si>
    <t>SAIA Freight NHC - 0476 148 Boston Post Road Orange, CT 6477</t>
  </si>
  <si>
    <t>Building Maintenance /  Ceiling / Ceiling Tiles
Ceiling in dispatch room collapsed. Drop ceiling need new fasteners and tiles cut to size</t>
  </si>
  <si>
    <t>Requesting new lock on door for storage room to prevent possible theft of safety and automotive items.</t>
  </si>
  <si>
    <t>SAIA Freight - BGN 91 Sulphur Springs Road Owego, NY 13827</t>
  </si>
  <si>
    <t>Owego</t>
  </si>
  <si>
    <t>outside yard lights not working</t>
  </si>
  <si>
    <t>O'Reilly Auto Parts 306 SOUTH STATE STREET SHELLEY, ID 83274</t>
  </si>
  <si>
    <t>Shelley</t>
  </si>
  <si>
    <t>ID</t>
  </si>
  <si>
    <t>5 parking stops have been damaged. Rebar is showing. Need to replace the damaged parking stops and re-secure new and old stops to the parking lot.</t>
  </si>
  <si>
    <t>SAIA Freight SCR - 0408  95 2nd Street Wilkes-Barre, PA 18702</t>
  </si>
  <si>
    <t>Wilkes-Barre</t>
  </si>
  <si>
    <t>Plumbing | Clogged Toilet / Sink / Drain 
Urinal in mens room is not draining</t>
  </si>
  <si>
    <t>SAIA Freight HBG - 0404  80 Roadway Drive Carlisle, PA 17015</t>
  </si>
  <si>
    <t>Building Maintenance 
Dumpster door latch handle broke off, can't slide the lock on dumpster to open and close it.</t>
  </si>
  <si>
    <t>Mechanical</t>
  </si>
  <si>
    <t xml:space="preserve">Ocean State Job Lot - #408 1328 Hooksett Rd. Hooksett, NH 03106   
</t>
  </si>
  <si>
    <t>Hooksett</t>
  </si>
  <si>
    <t>Baler is not functioning</t>
  </si>
  <si>
    <t>clogged toilet</t>
  </si>
  <si>
    <t>SAIA Freight - PME 9 Ginn Rd Scarborough, ME 04074</t>
  </si>
  <si>
    <t>Scarborough</t>
  </si>
  <si>
    <t xml:space="preserve">Toilet and sink are clogged. </t>
  </si>
  <si>
    <t>Five Below 7584 Voice of America Center Drive West Chester OH 45069</t>
  </si>
  <si>
    <t>West Chester</t>
  </si>
  <si>
    <t>SALES FLOOR / Leaks / Exterior Door / Water Leak Around Door / Water leaking in through store front windows, seeping behind registers.</t>
  </si>
  <si>
    <t>FIVE BELOW - N Cincinnati OH 8555 Winton Road Cincinnati OH 45231</t>
  </si>
  <si>
    <t>Cincinnati</t>
  </si>
  <si>
    <t>SALES FLOOR / Shopping Carts / Shopping Cart Corral / Damaged Cart Corral / It broken .</t>
  </si>
  <si>
    <t>FIVE BELOW - Bridgewater Falls 3385 Princeton Rd
Hamilton, OH 45011, US</t>
  </si>
  <si>
    <t>Hamilton</t>
  </si>
  <si>
    <t>STORE ENTRANCE / Leaks / Exterior Door / Water Leak Around Door / Due to the rain , there is a leak at the front door that is pooling up around it.</t>
  </si>
  <si>
    <t>FIVE BELOW - Hyde Park Plaza - Cincinnati OH 3866 Paxton Ave
Cincinnati, OH 45209, US</t>
  </si>
  <si>
    <t>RESTROOMS / Restroom Hardware / Baby Changing Table / Needs Install/Repair/ Replacement / Baby changing table still broke. Was closed out as completed but no one ever came.</t>
  </si>
  <si>
    <t>PO-96835</t>
  </si>
  <si>
    <t>Gym Professionals</t>
  </si>
  <si>
    <t>mechanical repair</t>
  </si>
  <si>
    <t>The Church of Jesus Christ of Latter-day Saints
10700 W Carson City Rd Hwy M-57, GREENVILLE, Michigan 48838-9141, US</t>
  </si>
  <si>
    <t>the basketball winch should be installed by trained professionals because of the exact placement of the wench and cable hazards. 
25-feet in the air there is a bad wench and wont move. -Basket ball hoop stuck</t>
  </si>
  <si>
    <t>FIVE BELOW - Springdale, OH 473 East Kemper Rd Springdale OH 45240</t>
  </si>
  <si>
    <t>Springdale</t>
  </si>
  <si>
    <t xml:space="preserve">SALES FLOOR / Signage / Interior Sign - Hanging / Damaged / It is hanging on by the wire need someone to come repair it as soon as possible
</t>
  </si>
  <si>
    <t>Christopher Martin</t>
  </si>
  <si>
    <t>Five below 172 E Stroop Rd, Dayton, OH 45429</t>
  </si>
  <si>
    <t>SALES FLOOR / Fixture Repair / ACO / ACO Door will Not Lock/Unlock / Aco 3 door will not lock or unlock. We have to tape the door closed.</t>
  </si>
  <si>
    <t>005689 (57 - 502) 005689 - STORE - BARTON - VT - BRT - 38 CHURCH STREET - Active 38 CHURCH STREET BARTON, VT 05822-8511, US</t>
  </si>
  <si>
    <t>SHOWROOM / Electrical / Electrical / Partial outage / they have lost power in half of the lighting and outlets in the showroom, she has reset breakers without resolve. Please assess and repair as needed to restore full power to the lights and outlets.</t>
  </si>
  <si>
    <t>003482 (66 - 220) 003482 - STORE - HAYWARD - CA - HW2 - 800 JACKSON STREET - Active 800 JACKSON STREET HAYWARD, CA 94544-1035, US</t>
  </si>
  <si>
    <t>HQ USE / HQ USE - Electrical / Counters / Counter Exchange / Please  help with any power issues that may arise during the retail counter exchange and relocation of the ISS counter.</t>
  </si>
  <si>
    <t>raw sewage is backed up into bathrooms on floors, entire store stinks. Customers have complained. Please assess and repair as needed to restore proper plumbing operation.</t>
  </si>
  <si>
    <t>Ceiling Lights</t>
  </si>
  <si>
    <t>006593 (55 - 140) 006593 - STORE - COLUMBUS - GA - CM6 - 7170 BEAVER RUN RD - Active 7170 BEAVER RUN RD COLUMBUS, GA 31820, US</t>
  </si>
  <si>
    <t>BACKROOM / Lighting / Interior Lighting / Partial lighting outage / ceiling lights are out in stockroom and 2 4 foot lights at the iss counter are out</t>
  </si>
  <si>
    <t>005073 (27 - 487) 005073 - STORE - FREDERICKSBURG - VA - FB2 - 38 BOJANGLES WAY - Active 38 BOJANGLES WAY FREDERICKSBURG, VA 22406, US</t>
  </si>
  <si>
    <t>PARKING LOT / Parking Stops / Parking Stops / Parking stop(s) damaged / Is this a trip and fall hazard?: No / How many parking stop(s) are damaged?: 1 / Parking stop crushed revealing rebar.</t>
  </si>
  <si>
    <t>006640 (56 - 622) 006640 - STORE - CORAOPOLIS - PA - CPS - 845 4TH AVE - Active 845 4TH AVE CORAOPOLIS, PA 15108, US</t>
  </si>
  <si>
    <t>PARKING LOT / Landscaping / Landscaping / Dead/missing plants or trees / Is this a potential hazard?: Yes / A large dual wheel truck ran over one of the trees by the parking lot entrance. the tree has been de-rooted and is currently overhanging the parking lot, and we are concerned about it hitting a customer vehicle. Please assess the tree and figure out if it can be replanted, if so, please do so and stabilize it, or if is too damaged to live and needs to be removed.</t>
  </si>
  <si>
    <t>Tree trimming</t>
  </si>
  <si>
    <t>02872 (66 - 241) 002872 - STORE - PLEASANT HILL - CA - PLH - 505 CONTRA COSTA BLVD - Active 505 CONTRA COSTA BLVD PLEASANT HILL, CA 94523-1203, US</t>
  </si>
  <si>
    <t>PLEASANT HILL</t>
  </si>
  <si>
    <t>PARKING LOT / Landscaping / Landscaping / Tree/shrub trimming needed / Store needs a few trees trimmed. Some are overhanging our building quite a bit (on side facing Contra Costa Blvd) and one on backside is very large where neighbors are complaining of leaves on their roof.	Billed for incurred</t>
  </si>
  <si>
    <t>RESTROOM / Plumbing / Toilet/Urinal / Leaking / Is this a safety risk to Team Members and/or customers?: Yes / Have a leak on a urinal have water coming from the wall and ruined drywall at the bottom also have water beading up in the wall behind the paint.</t>
  </si>
  <si>
    <t>005291 (59 - 139) 005291 - STORE - BURNSIDE - KY - BNS - 4770 S HWY 27 - Active 4770 S HWY 27 BURNSIDE, KY 42501-6183, US</t>
  </si>
  <si>
    <t>RESTROOM / Plumbing / Toilet/Urinal / Clogged - Entire Bathroom / Toilet in women's room not flushing completely and when flushed, water/sewage comes up from floor drains in both men's and women's restrooms. Same thing is happening when urinal or toilet in men's room is flushed.</t>
  </si>
  <si>
    <t>002010 (13 - 654) 002010 - STORE - LENOIR CITY - TN - LNC - 535 HIGHWAY 321 NORTH - Active 535 HIGHWAY 321 NORTH LENOIR CITY, TN 37771-6541, US</t>
  </si>
  <si>
    <t>HQ USE / HQ USE - Door(s) / Front Door / Replacement / What is the reason for the Replacement of this door?: Routine / Please we need to supply and install one (1) new pair (6’0x7’0) of outswing only storefront doors with 10” bottom rails, re-using the existing hinge side jambs, but replacing the header, with new frame stops with weathering for all three (3) jambs, since existing doors are dual acting and don't have any in place, including new push/pull hardware,  new MS lock hardware (thumbturn on the inside and keyed cylinder on the outside of the active leaf and top and bottom flushbolts on the inactive leaf), new 1/4" tempered safety glass for the doors , new threshold, new sweeps, new astragal weatherstripping, and installation of new closer hardware including two (2) 83” full surface continuous hinges, two (2) new closers, with mount plates, cush shoe supports, and blade stop spacers (in case the spacers are needed).</t>
  </si>
  <si>
    <t>Day 1: Saw-cut and break out concrete, begin trench excavation and remove stuck stud Day 2: Complete excavation to full depth and expose damaged sewer line Day 3: Remove old sewer line and install new 3 ft sewer line with proper bedding Day 4: Backfill, compact subgrade, and re-pour concrete to match existing elevation Day 5: Hydro-test new line, verify proper flow, final cleanup, and site restoration</t>
  </si>
  <si>
    <t>005135 (18 - 537) 005135 - STORE - HOOVER - AL - HOO - 1559 MONTGOMERY HWY - Active 1559 MONTGOMERY HWY HOOVER, AL 35216-4501, US</t>
  </si>
  <si>
    <t>HOOVER</t>
  </si>
  <si>
    <t>BACKROOM / Door(s) / Freight Door - Overhead / Lock failure / Is the lock causing an issue with opening or closing the store?: Yes / wont lock and we are not secure for tonight. Please repair the lock and make sure the door is securable before leaving the store.</t>
  </si>
  <si>
    <t>BACKROOM / Plumbing / Water Lines / Damaged / the main water supply line to the store has frozen and busted. Store is without water but does have portables on site</t>
  </si>
  <si>
    <t>SHOWROOM / Lighting / Interior Lighting / Partial lighting outage / Store has several lights out. Need a Tech to investigate.</t>
  </si>
  <si>
    <t>003848 (30 - 261) 003848 - STORE - SEQUIM - WA - SQM - 1130 WEST WASHINGTON - Active 1130 WEST WASHINGTON SEQUIM, WA 98382-3270, US</t>
  </si>
  <si>
    <t>SHOWROOM / Lighting / Interior Lighting / Partial lighting outage / Have some lighting fixtures on showroom floor and in office needing fixed. More than bulb issue. // Store reports 2 8ft section(s) of LED lights are out in the showroom and backroom. I have 2 LED driver(s) that is at the store that needs changed out. See MOD for material. Please  diagnose and repair lighting that is not working back to normal illumination.</t>
  </si>
  <si>
    <t>005365 (58 - 524) 005365 - STORE - STAFFORD SPRINGS - CT - SSP - 39 WEST STAFFORD RD - Active 39 WEST STAFFORD RD STAFFORD SPRINGS, CT 06076-1023, US</t>
  </si>
  <si>
    <t>RESTROOM / Plumbing / Toilet/Urinal / Leaking / Is this a safety risk to Team Members and/or customers?: Yes / urinal would not shut off and valve where shut off is on urinal will not come off to shut off water. the water stopped but needs to be serviced.</t>
  </si>
  <si>
    <t>005295 (58 - 499) 005295 - STORE - OLD SAYBROOK - CT - OSB - 899 BOSTON POST RD - Active 899 BOSTON POST RD OLD SAYBROOK, CT 06475-2130, US</t>
  </si>
  <si>
    <t>OLD SAYBROOK</t>
  </si>
  <si>
    <t>BACKROOM / Electrical / Outlet(s) / Outlet(s) cover replacement needed / Outlet by alarm system has loose cover, held on by 1 screw. Also ground strap in riser room is lose.</t>
  </si>
  <si>
    <t>RESTROOM / Plumbing / Sink / Sink is clogged / Girls bathroom has a clogged sink with black soot coming out of sink and smell.</t>
  </si>
  <si>
    <t>005318 (62 - 468) 005318 - STORE - NORTH MYRTLE BEACH - SC - NMB - 1807 HIGHWAY 17 S - Active 1807 HIGHWAY 17 S NORTH MYRTLE BEACH, SC 29582-4042, US</t>
  </si>
  <si>
    <t>NORTH MYRTLE BEACH,</t>
  </si>
  <si>
    <t>EXTERIOR BUILDING / Door(s) / Front Door / Door closer issue / What type of issue?: Needs Adjustment / Did this resolve the issue?: No / Door is not locking properly. Please investigate and make needed repairs / Adjustments, Please make sure the store can secure before leaving site.</t>
  </si>
  <si>
    <t>002178 (45 - 365) 002178 - STORE - LAKE CITY - FL - LY1 - 453 EAST DUVAL STREET - Active 453 EAST DUVAL STREET LAKE CITY, FL 32055-4090, US</t>
  </si>
  <si>
    <t xml:space="preserve"> LAKE CITY</t>
  </si>
  <si>
    <t>EXTERIOR BUILDING / Lighting / Flood/Spot Light/Wall Pack, Freight Door Light / Partial lighting outage / Which light has an outage?: Wall Pack / Is the outage contained to a light, or all of them?: All / 3 lights completely out in parking lot. 1 light almost out. Parts onsite.</t>
  </si>
  <si>
    <t>outlet</t>
  </si>
  <si>
    <t xml:space="preserve"> EXTERIOR BUILDING / Electrical / Outlet(s) / Outlet(s) cover replacement needed / Exterior outlet casing broken can get wet. Please assess and repair as needed to restore outlet integrity.</t>
  </si>
  <si>
    <t>005786 (72 - 330) 005786 - STORE - ATHENS - OH - AHN - 743 E STATE ST - Active 743 E STATE ST STE F ATHENS, OH 45701-2157, US</t>
  </si>
  <si>
    <t xml:space="preserve">RESTROOM / Plumbing / Toilet/Urinal / Clogged - Singular / they have a clogged urinal. They can see the blockage and have shut the water off to it. Their toilets are working so they would like regular service. Please assess and repair as needed to restore proper plumbing operation.
</t>
  </si>
  <si>
    <t>001585 (68 - 327) 001585 - STORE - TIFTON - GA - TIF - 104 EAST 7TH STREET - Active 104 EAST 7TH STREET TIFTON, GA 31794-4882, US</t>
  </si>
  <si>
    <t>EXTERIOR GROUNDS / Plumbing / Water Lines / Leaking / Is this a safety risk to Team Members and/or customers?: No / We have a major water leak on the outside of our building. The ground is soaked/flooded. Not sure what pipe the water is coming from. It is on the side where the men's restroom is located</t>
  </si>
  <si>
    <t>002905 (47 - 240) 002905 - STORE - MOUNT SHASTA - CA - MTS - 124 MORGAN WAY - Active 124 MORGAN WAY MOUNT SHASTA, CA 96067, US</t>
  </si>
  <si>
    <t>MOUNT SHASTA</t>
  </si>
  <si>
    <t>RESTROOM / Plumbing / Toilet/Urinal / Leaking / Is this a safety risk to Team Members and/or customers?: No / toilet is leaking all over the floor was able to turn off water //diagnose and repair/replace what is needed to stop the leaks.</t>
  </si>
  <si>
    <t>005708 (57 - 592) 005708 - RELOCATION - PLATTSBURGH - NY - PBG - 362 ROUTE 3 - Active 362 ROUTE 3 PLATTSBURGH, NY 12901, US</t>
  </si>
  <si>
    <t>EXTERIOR BUILDING / Door(s) / Front Door / Door closer issue / What type of issue?: Damaged / Door closer is broken again, coming out of metal. need to be taken off and put new holes in. The door will fly open with the wind, and hit the window. Please assess and reattach the door closer and add a HD wind chain to the door.</t>
  </si>
  <si>
    <t>Sewer Line</t>
  </si>
  <si>
    <t>005397 (56 - 484) 005397 - STORE - LOGAN TOWNSHIP - PA - LTP - 3006 PLEASANT VALLEY BLVD - Active 3006 PLEASANT VALLEY BLVD LOGAN TOWNSHIP, PA 16602, US</t>
  </si>
  <si>
    <t>RESTROOM / Plumbing / Sewage Piping / Clogged/Leaking / Sewer line is clogged, sewage is backing up through the floor drains. Store is currently doing inventory.</t>
  </si>
  <si>
    <t>001760 (26 - 125) 001760 - STORE - HONEA PATH - SC - HNP - 305 EAST GREER STREET - Active 305 EAST GREER STREET HONEA PATH, SC 29654-1818, US</t>
  </si>
  <si>
    <t>HONEA PATH</t>
  </si>
  <si>
    <t>SHOWROOM / Lighting / Interior Lighting / Partial lighting outage / 1 showroom light is out per caller.</t>
  </si>
  <si>
    <t xml:space="preserve">006797 (74 - 233) 006797 - STORE - TOLEDO - OH - TD2 - 5135 MONROE ST - Active 5135 MONROE ST TOLEDO, OH 43623, US
</t>
  </si>
  <si>
    <t>SHOWROOM / Door(s) / Front Door / Door closer issue / What type of issue?: Damaged / Door handle keeps falling off. Please assess and repair as needed to restore proper attachment/operation.</t>
  </si>
  <si>
    <t>002650 (76 - 257) 002650 - STORE - TUCSON - AZ - TS5 - 7871 NORTH ORACLE ROAD - Active 7871 NORTH ORACLE ROAD TUCSON, AZ 85704-6348, US</t>
  </si>
  <si>
    <t>RESTROOM / Plumbing / Toilet/Urinal / Leaking / Is this a safety risk to Team Members and/or customers?: No / Toilet is leaking from bottom , wax ring</t>
  </si>
  <si>
    <t>004791 (65 - 451) 004791 - STORE - ZION - IL - ZIN - 2003 SHERIDAN ROAD - Active 2003 SHERIDAN ROAD ZION, IL 60099-1863, US</t>
  </si>
  <si>
    <t>EXTERIOR BUILDING / Door(s) / Front Door / Door closer issue / What type of issue?: Damaged / Wind caused door to open too far and broke the arm of the door closer. Please assess and repair as needed to restore proper operation.</t>
  </si>
  <si>
    <t>Hinge pivot</t>
  </si>
  <si>
    <t>005503 (44 - 229) 005503 - STORE - NORTH LAS VEGAS - NV - NL3 - 4703 W ANN RD - Active 4703 W ANN RD NORTH LAS VEGAS, NV 89031-3424, US</t>
  </si>
  <si>
    <t>SHOWROOM / Door(s) / Front door / Hinge pivot issue / What type of issue?: Loose / hinge is loose. /// Please investigate and repair as needed for correct operation.</t>
  </si>
  <si>
    <t>pipe</t>
  </si>
  <si>
    <t>Tifton</t>
  </si>
  <si>
    <t>breaking out a section of the concrete slab to expose the leaking water line, removing the damaged portion of the pipe, and installing approximately 10 feet of new 1-inch PVC piping to restore proper water flow and eliminate the leak. After the repair is completed, the exposed piping will be properly secured and the area will be backfilled with sand and patched with concrete to restore the surface. During the repair process, temporary water shut-off may be required to safely complete the pipe replacement. Once the repair is completed,  will restore water service, test the repaired line, and verify that there are no further leaks before completing the service.</t>
  </si>
  <si>
    <t>006182 (57 - 566) 006182 - STORE - WATERTOWN - NY - WT1 - 301 ARSENAL ST - Activ 301 ARSENAL ST WATERTOWN, NY 13601, US</t>
  </si>
  <si>
    <t xml:space="preserve">EXTERIOR BUILDING / Door(s) / Front Door / Damaged  / What type of damage occurred?: Standard wear and tear / Door closer arm ripped off door frame by wind. Please assess and repair as needed to restore proper operation. </t>
  </si>
  <si>
    <t>001998 (68 - 437) 001998 - STORE - GARDEN CITY - GA - GC1 - 5122 AUGUSTA ROAD - Active 5122 AUGUSTA ROAD GARDEN CITY, GA 31408-1604, US</t>
  </si>
  <si>
    <t>PARKING LOT / Lighting / Pole Lighting / Damaged pole light / What type of damage occurred?: Standard wear and tear / Pole has 3 lights on it. One of the lights blinks all day whether its light or dark outside.</t>
  </si>
  <si>
    <t xml:space="preserve">001998 (68 - 437) 001998 - STORE - GARDEN CITY - GA - GC1 - 5122 AUGUSTA ROAD - Active 5122 AUGUSTA ROAD GARDEN CITY, GA 31408-1604, US
</t>
  </si>
  <si>
    <t>PARKING LOT / Lighting / Pole Lighting / Partial lighting outage / Is the outage contained to a singular pole, or the entire parking lot?: Singular Pole / Please source and install the Photo cell that was found damaged while onsite.</t>
  </si>
  <si>
    <t>002011 (74 - 378) 002011 - STORE - LIMA - OH - LM1 - 708 NORTH CABLE ROAD - Active 708 NORTH CABLE ROAD LIMA, OH 45805-1738, US</t>
  </si>
  <si>
    <t>RESTROOM / Door(s) / Interior Door / Door knob issue / What type of issue?: Damaged / lock on the females rest room is not locking. Please assess and repair as needed to restore proper operation.</t>
  </si>
  <si>
    <t xml:space="preserve">002693 (44 - 229) 002693 - STORE - LAS VEGAS - NV - LV2 - 1615 NORTH NELLIS BLVD - Active 1615 NORTH NELLIS BLVD LAS VEGAS, NV 89115-6607, US
</t>
  </si>
  <si>
    <t>SHOWROOM / Door(s) / Front Door / Difficult to open or close / Was this issue caused due to damage to the building?: No / Front doors in entrance do not close completely when customers come in. Doors are dragging at the bottom when trying to open.</t>
  </si>
  <si>
    <t>004906 (58 - 353) 004906 - STORE - BROCKTON - MA - BC1 - 779 CRESCENT STREET - Active 779 CRESCENT STREET BROCKTON, MA 02302-3361,</t>
  </si>
  <si>
    <t>SHOWROOM / Lighting / Interior Lighting / Partial lighting outage / We have a 8ft section of LED lights out in the showroom. There is a new 8' LED driver on site to fix the outage</t>
  </si>
  <si>
    <t>005363 (56 - 569) 005363 - STORE - BEAVER FALLS - PA - BVF - 1927 7TH AVE - Active 1927 7TH AVE BEAVER FALLS, PA 15010-3901, US</t>
  </si>
  <si>
    <t>BACKROOM / Lighting / Interior Lighting / Partial lighting outage / BACKROOM / Lighting / Interior Lighting / Partial lighting outage/ they have (28) lights out in 5 complete rows, he did check the breakers</t>
  </si>
  <si>
    <t>Needs revised quote</t>
  </si>
  <si>
    <t xml:space="preserve">005137 (58 - 351) 005137 - STORE - WARWICK - RI - WK1 - 2680 WEST SHORE RD - Active 2680 WEST SHORE RD UNIT D WARWICK, RI 02889-8149, US
</t>
  </si>
  <si>
    <t xml:space="preserve">SHOWROOM / Wall(s) / Drywall / Cracked/damaged drywall / Store reports that their drywall has cracked due to heavy snow load.
</t>
  </si>
  <si>
    <t>hand dryers</t>
  </si>
  <si>
    <t>Please install  hand dryers in both RR of this store.  The hand dryers will need to be ADA compliant.</t>
  </si>
  <si>
    <t>EXTERIOR BUILDING / Fence / Property Fence / Repair needed / What type of damage occurred?: Standard wear and tear / The gate/fence where the trash dumpster is enclosed is broken and will not close properly.</t>
  </si>
  <si>
    <t>004559 (18 - 537) 004559 - STORE - PELHAM - AL - PH2 - 101 VILLAGE DRIVE - Active 101 VILLAGE DRIVE PELHAM, AL 35124-2305, US</t>
  </si>
  <si>
    <t>BACKROOM / Wall(s) / Wall / Water coming in through the wall /  leak is coming from a high point on the wall/possible ceiling</t>
  </si>
  <si>
    <t>RESTROOM / Plumbing / Toilet/Urinal / Clogged - Entire Bathroom / clogged /  clear the toilets and floor drains back to normal flowing operation.</t>
  </si>
  <si>
    <t>005861 (57 - 506) 005861 - STORE - COLONIE - NY - CN2 - 1390 CENTRAL AVE - Active 1390 CENTRAL AVE COLONIE, NY 12205-5115, US</t>
  </si>
  <si>
    <t>RESTROOM / Plumbing / Toilet/Urinal / Clogged - Entire Bathroom / the bathroom toilets are not flushing and drainage is backing up into the store.</t>
  </si>
  <si>
    <t>005014 (58 - 351) 005014 - STORE - CRANSTON - RI - CO1 - 355 ATWOOD AVE - Active 355 ATWOOD AVE CRANSTON, RI 02920-4358, US</t>
  </si>
  <si>
    <t>Cranston</t>
  </si>
  <si>
    <t>HQ USE / HQ USE - Plumbing / Water Fountain / Replacement/Addition / Store reports the water fountain needs replacement due to age and bad compressor- water is always warm. There is a new fountain and cane apron on site to replace the existing unit</t>
  </si>
  <si>
    <t>000967 (59 - 172) 000967 - RELOCATION - MADISONVILLE - KY - MDS - 1101 S MAIN ST - Active 1101 S MAIN ST MADISONVILLE, KY 42431-3337, US</t>
  </si>
  <si>
    <t>SHOWROOM / Lighting / Interior Lighting / Partial lighting outage / Store has lights that flash in the showroom.</t>
  </si>
  <si>
    <t>002363 (68 - 437) 002363 - STORE - SAVANNAH - GA - SH2 - 4141 OGEECHEE ROAD - Active 4141 OGEECHEE ROAD SAVANNAH, GA 31405-1317, US</t>
  </si>
  <si>
    <t>Savannah</t>
  </si>
  <si>
    <t xml:space="preserve">RESTROOM / Plumbing / Water Lines / Leaking / Is this a safety risk to Team Members and/or customers?: Yes / toilet leaking where bowl touches the floor (from bottom). </t>
  </si>
  <si>
    <t>003301 (74 - 233) 003301 - STORE - TOLEDO - OH - TD4 - 4656 MONROE STREET - Active 4656 MONROE STREET TOLEDO, OH 43623-4419, US</t>
  </si>
  <si>
    <t xml:space="preserve">EXTERIOR BUILDING / Lighting / Flood/Spot Light/Wall Pack / Damaged / What type of damage occurred?: Standard wear and tear / Fuse #10 continues to trip in the circuit panel and the signs or parking lot lights will not function. Please assess the breaker panel/fuse and repair as needed to restore proper lighting operation. </t>
  </si>
  <si>
    <t>005785 (72 - 599) 005785 - STORE - FAIRBORN - OH - FB1 - 7934 DAYTON SPRINGFIELD RD - Active 7934 DAYTON SPRINGFIELD RD FAIRBORN, OH 45324-1906, US</t>
  </si>
  <si>
    <t>EXTERIOR BUILDING / Door(s) / Front Door / Damaged / What type of damage occurred?: Storm / hydraulic unit broke, door swings freely does not stay closed. outside handle also broke. Please bring HD replacement door closer and an HD wind chain on first trip and install them on the door and repair handle as needed.</t>
  </si>
  <si>
    <t>005712 (50 - 452) 005712 - STORE - NASHUA - NH - NU1 - 305 WEST HOLLIS STREET - Active 305 WEST HOLLIS STREET NASHUA, NH 03060-3036, US</t>
  </si>
  <si>
    <t>Nashua</t>
  </si>
  <si>
    <t xml:space="preserve"> RESTROOM / Electrical / Electrical / Full outage / Women's bathroom fluorescent light out. Please assess and repair as needed to restore proper lighting.</t>
  </si>
  <si>
    <t>003943 (26 - 146) 003943 - STORE - GREENVILLE - SC - GL5 - 1764 WOODRUFF RD - Active 1764 WOODRUFF RD GREENVILLE, SC 29607-5933, US</t>
  </si>
  <si>
    <t>EXTERIOR BUILDING / Door(s) / Freight Door - Non-Overhead / Cannot open or close door / Door will not lock or unlock to get bay door open for freight. Also we are having to leave bay door open during day time to allow drivers in and out while on deliveries which is a safety risk.</t>
  </si>
  <si>
    <t>BACKROOM / Door(s) / Emergency Door / Lock failure / Is the lock causing an issue with opening or closing the store?: Yes / lock sticks. /// Please investigate and repair as needed for correct operation.</t>
  </si>
  <si>
    <t>005034 (69 - 307) 005034 - STORE - HUNTSVILLE - AL - HN6 - 34 TAYLOR ROAD - Active 34 TAYLOR ROAD HUNTSVILLE, AL 35763, US</t>
  </si>
  <si>
    <t>EXTERIOR GROUNDS / Landscaping / Landscaping / Grounds clean up / new mulching put around bushes, replace half dead tree and bush.</t>
  </si>
  <si>
    <t>Lockport</t>
  </si>
  <si>
    <t>RESTROOM / Plumbing / Toilet/Urinal / Clogged - Entire Bathroom / Both the men's and ladies toilets are backed up once again. They have not backed up through the floor drain as of yet. Please assess and repair as needed to restore proper plumbing operation.</t>
  </si>
  <si>
    <t xml:space="preserve">005565 (35 - 680) 005565 - STORE - PACOIMA - CA - PC1 - 13220 VAN NUYS BLVD - Active 13220 VAN NUYS BLVD PACOIMA, CA 91331-2561, US
</t>
  </si>
  <si>
    <t>HQ USE / HQ USE - Electrical / Counters / Counter Exchange / Please help with any power issues that may arise during the retail counter exchange.</t>
  </si>
  <si>
    <t>Dennis Port</t>
  </si>
  <si>
    <t>RESTROOM / Plumbing / Toilet/Urinal / Clogged - Singular / Toilet in ladies room is clogged. There is a piece of a toilet cleaning brush stuck where it cannot be reached. Toilet is not functional. Please assess and repair as needed.</t>
  </si>
  <si>
    <t>002303 (21 - 640) 002303 - STORE - CINCINNATI - OH - CT2 - 6096 HARRISON AVENUE - Active 6096 HARRISON AVENUE CINCINNATI, OH 45247-7813, US</t>
  </si>
  <si>
    <t>BACKROOM / Door(s) / Freight Door - Overhead / Cannot open or close door / Was this issue caused due to damage to the building?: No / Driver reports the overhead door key will get stuck when he is trying to bring the door down. It does open it just fine tho. It's either a problem with the key or the mechanism in the lock, he is not sure but he has been having to manually bring the door down with the chain.</t>
  </si>
  <si>
    <t>003448 (34 - 244) 003448 - STORE - SAN DIEGO - CA - S14 - 4435 UNIVERSITY AVENUE - Active 4435 UNIVERSITY AVENUE SAN DIEGO, CA 92105-1711, US.</t>
  </si>
  <si>
    <t>Pittsfield</t>
  </si>
  <si>
    <t>RESTROOM / Plumbing / Toilet/Urinal / Clogged - Entire Bathroom / the rest room is backing up, both toilets are clogged over flowing. Please assess and repair as needed to restore proper plumbing operation.</t>
  </si>
  <si>
    <t>004537 (50 - 603) 004537 - STORE - ELLSWORTH - ME - ELW - 24 DOWNEAST HIGHWAY - Active 24 DOWNEAST HIGHWAY ELLSWORTH, ME 04605-1731, US</t>
  </si>
  <si>
    <t>EllsWorth</t>
  </si>
  <si>
    <t xml:space="preserve">SHOWROOM / Door(s) / Front Door / Lock failure / Is the lock causing an issue with opening or closing the store?: Yes / Bottom lock on our front door latch broke. unable to lock bottom lock now. </t>
  </si>
  <si>
    <t>006875 (18 - 634) 006875 - STORE - PRATTVILLE - AL - PV2 - 104 HIGHWAY 82 BYP W - Active 104 HIGHWAY 82 BYP W PRATTVILLE, AL 36067, US</t>
  </si>
  <si>
    <t>HQ USE / HQ USE - Electrical / Electrical / New circuits /  Outlets installed, but don’t work. Breakers still tripping often</t>
  </si>
  <si>
    <t>Stratford</t>
  </si>
  <si>
    <t>RESTROOM / Plumbing / Toilet/Urinal / Clogged - Entire Bathroom / both restrooms are out of order and water coming from floor drains. Please assess and repair as needed to restore proper plumbing operation.</t>
  </si>
  <si>
    <t xml:space="preserve">EXTERIOR BUILDING / Door(s) / Front Door / Cannot open or close door / Was this issue caused due to damage to the building?: No / Wind storm blew door off pivots. Have door locked and secured now but cannot use it at all. Please assess and if possible put the door on a continuous hinge on the first visit, or replace the pivot(s) if that's the only option. We need this door functional asap today. </t>
  </si>
  <si>
    <t>004533 (57 - 509) 004533 - STORE - TILTON - NH - TT1 - 117 LACONIA RD - Active 117 LACONIA RD TILTON, NH 03276-5227, US</t>
  </si>
  <si>
    <t>Tilton</t>
  </si>
  <si>
    <t>RESTROOM / Plumbing / Toilet/Urinal / Leaking / Is this a safety risk to Team Members and/or customers?: Yes / urinal attached to the wall once you flush it the water stays /running floods the bathroom.</t>
  </si>
  <si>
    <t>002709 (44 - 676) 002709 - STORE - LAS VEGAS - NV - LV5 - 816 NORTH RANCHO DRIVE - Active 816 NORTH RANCHO DRIVE LAS VEGAS, NV 89106-3709, US</t>
  </si>
  <si>
    <t>EXTERIOR GROUNDS / Landscaping / Landscaping / Tree/shrub trimming needed / Palm tree on SE of parking lot needs to be trimmed and trash cleaned up around tree.</t>
  </si>
  <si>
    <t>Baxley</t>
  </si>
  <si>
    <t>BACKROOM / Plumbing / Water Fountain / Leaking / Is this a safety risk to Team Members and/or customers?: Yes / Water fountain is not fixed! still leaks very badly.</t>
  </si>
  <si>
    <t>001720 (12 - 80) 001720 - STORE - NASHVILLE - TN - NV9 - 2706 NOLENSVILLE PIKE - Active 2706 NOLENSVILLE PIKE NASHVILLE, TN 37211-2219, US</t>
  </si>
  <si>
    <t>Nashville</t>
  </si>
  <si>
    <t>RESTROOM / Plumbing / Sink / Sink is clogged / Sink drains really slow</t>
  </si>
  <si>
    <t>002515 (51 - 201) 002515 - STORE - BELLINGHAM - WA - BL1 - 1929 KING STREET - Active 1929 KING STREET BELLINGHAM, WA 98225-4236, US</t>
  </si>
  <si>
    <t>PARKING LOT / Lighting / Pole Lighting / Complete lighting outage / Is the outage contained to a singular pole, or the entire parking lot?: Singular Pole / Parking lot light not coming on at all i tried to over ride with interior switch and still wont come on. can pose a safety risk.</t>
  </si>
  <si>
    <t>Roof Leak in IT Room</t>
  </si>
  <si>
    <t>SAIA freight 90 Concord Street N Reading, MA 01864</t>
  </si>
  <si>
    <t>Toilets are clogged.</t>
  </si>
  <si>
    <t>The glass door off the breakroom does not close by itself when someone enters/exits. Now that it is colder it has a much harder time of closing and locking on its own. I don't know if the lock/latch needs to be changed or if the door needs work, but either way we need the door to close properly on its own when someone enters/exits.</t>
  </si>
  <si>
    <t>SAIA Freight PVD  1146 &amp; 1170 S. Street Wrentham, MA 02093</t>
  </si>
  <si>
    <t>the men's room sink was fixed, but now the ladies room sink has a leak and will need repair. It appears to be the pipes, not the sink itself. The water seems to be leaking into the downstairs bathroom, so until the ladies room sink is fixed and the water turned on again, we will not know for sure. And at this point in time, the ladies can't use the sink in their bathroom.</t>
  </si>
  <si>
    <t xml:space="preserve">Sewer Line </t>
  </si>
  <si>
    <t>SAIA Freight PHI - 0405 1618 Union Ave Pennsauken, NJ 08110</t>
  </si>
  <si>
    <t>Plumbing Sewer line is backing up into the parking lot.</t>
  </si>
  <si>
    <t>Carpet</t>
  </si>
  <si>
    <t>Golf &amp; Tennis Pro Shop, INC 2315 Summa Drive Las Vegas, NV 89135</t>
  </si>
  <si>
    <t>Carpet cleaning – multiple stains.</t>
  </si>
  <si>
    <t xml:space="preserve">Ocean State Job Lot - #515 416 Harry L Dr. Johnson City, NY 13790 </t>
  </si>
  <si>
    <t>Johnson City</t>
  </si>
  <si>
    <t>Baler PM Service</t>
  </si>
  <si>
    <t>Ocean State Job Lot - #472 1129 Union St. Bangor, ME 04401</t>
  </si>
  <si>
    <t>Bangor</t>
  </si>
  <si>
    <t>Ocean State Job Lot - #204 390 Barnstable St. Hyannis, MA 02601</t>
  </si>
  <si>
    <t>Hyannis</t>
  </si>
  <si>
    <t xml:space="preserve">Ocean State Job Lot - #205 50 B Teaticket Highway, Falmouth, MA 02536 </t>
  </si>
  <si>
    <t>Falmouth</t>
  </si>
  <si>
    <t>Ocean State Job Lot - #474 1570 Main St. Oxford, ME 04270</t>
  </si>
  <si>
    <t>Oxford</t>
  </si>
  <si>
    <t xml:space="preserve">Far right faucet in dock breakroom mens restroom - bad sensor.
</t>
  </si>
  <si>
    <t>Ocean State Job Lot - #475 265 Camden St. Rockland, ME 04841</t>
  </si>
  <si>
    <t>Rockland</t>
  </si>
  <si>
    <t>Ocean State Job Lot - #471 95 Lincolnville Ave. Belfast, ME 04915</t>
  </si>
  <si>
    <t>Belfast</t>
  </si>
  <si>
    <t>Ocean State Job Lot - #408 1328 Hooksett Rd. Hooksett, NH 03106</t>
  </si>
  <si>
    <t>Plumbing | Clogged Toilet / Sink / Drain 
Bathroom in dock office breakroom toilet not flushing backing up</t>
  </si>
  <si>
    <t>Toilets</t>
  </si>
  <si>
    <t>FVB - Union Gap, WA 17 East Valley Mall Blvd Suite 1 Union Gap, WA 98903, US</t>
  </si>
  <si>
    <t>Yakima</t>
  </si>
  <si>
    <t xml:space="preserve">RESTROOMS / Plumbing / Toilet / Leak - Cannot Contain / The toilet is loose causing it to lose its seal on the sewage underneath. Cannot contain leak due to it being under the toilet.
</t>
  </si>
  <si>
    <t>PH-026</t>
  </si>
  <si>
    <t>Asphalt Repair</t>
  </si>
  <si>
    <t>Sprint 900735 1020 Laurens St NW Aiken SC</t>
  </si>
  <si>
    <t>Aiken</t>
  </si>
  <si>
    <t>Patch or replace asphalt at the northwest entrance asphalt, sealcoat and stripe the 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</si>
</sst>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11" x14ac:knownFonts="1">
    <font>
      <sz val="11"/>
      <color theme="1"/>
      <name val="Calibri"/>
      <family val="2"/>
      <scheme val="minor"/>
    </font>
    <font>
      <sz val="11"/>
      <color rgb="FF000000"/>
      <name val="Calibri"/>
      <charset val="1"/>
    </font>
    <font>
      <sz val="11"/>
      <color rgb="FF000000"/>
      <name val="Calibri"/>
    </font>
    <font>
      <sz val="11"/>
      <color rgb="FF242424"/>
      <name val="Aptos Narrow"/>
      <charset val="1"/>
    </font>
    <font>
      <b/>
      <sz val="16"/>
      <color theme="1"/>
      <name val="Calibri"/>
      <family val="2"/>
      <scheme val="minor"/>
    </font>
    <font>
      <sz val="11"/>
      <color rgb="FF242424"/>
      <name val="Calibri"/>
      <scheme val="minor"/>
    </font>
    <font>
      <sz val="11"/>
      <color theme="1"/>
      <name val="Calibri Light"/>
      <scheme val="major"/>
    </font>
    <font>
      <b/>
      <sz val="14"/>
      <color theme="1"/>
      <name val="Calibri"/>
      <family val="2"/>
      <scheme val="minor"/>
    </font>
    <font>
      <b/>
      <sz val="18"/>
      <color theme="0"/>
      <name val="Calibri"/>
      <family val="2"/>
      <scheme val="minor"/>
    </font>
    <font>
      <b/>
      <sz val="12"/>
      <color rgb="FF000000"/>
      <name val="Calibri"/>
      <family val="2"/>
      <scheme val="minor"/>
    </font>
    <font>
      <b/>
      <sz val="14"/>
      <color theme="4" tint="-0.499984740745262"/>
      <name val="Calibri"/>
      <family val="2"/>
      <scheme val="minor"/>
    </font>
  </fonts>
  <fills count="16">
    <fill>
      <patternFill patternType="none"/>
    </fill>
    <fill>
      <patternFill patternType="gray125"/>
    </fill>
    <fill>
      <patternFill patternType="solid">
        <fgColor rgb="FF00B050"/>
        <bgColor rgb="FF000000"/>
      </patternFill>
    </fill>
    <fill>
      <patternFill patternType="solid">
        <fgColor rgb="FF00B050"/>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8" tint="0.79998168889431442"/>
        <bgColor theme="8" tint="0.79998168889431442"/>
      </patternFill>
    </fill>
    <fill>
      <patternFill patternType="solid">
        <fgColor rgb="FFF4B084"/>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3" tint="0.59999389629810485"/>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97">
    <xf numFmtId="0" fontId="0" fillId="0" borderId="0" xfId="0"/>
    <xf numFmtId="14" fontId="0" fillId="0" borderId="0" xfId="0" applyNumberFormat="1"/>
    <xf numFmtId="164" fontId="0" fillId="0" borderId="0" xfId="0" applyNumberFormat="1"/>
    <xf numFmtId="9" fontId="0" fillId="0" borderId="0" xfId="0" applyNumberFormat="1"/>
    <xf numFmtId="0" fontId="1" fillId="0" borderId="0" xfId="0" applyFont="1"/>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xf>
    <xf numFmtId="9" fontId="0" fillId="0" borderId="0" xfId="0" applyNumberFormat="1" applyAlignment="1">
      <alignment horizontal="center" vertical="center"/>
    </xf>
    <xf numFmtId="0" fontId="1" fillId="0" borderId="0" xfId="0" applyFont="1" applyAlignment="1">
      <alignment horizontal="center" vertical="center" wrapText="1"/>
    </xf>
    <xf numFmtId="14" fontId="0" fillId="0" borderId="0" xfId="0" applyNumberFormat="1" applyAlignment="1">
      <alignment horizontal="center" vertical="center" wrapText="1"/>
    </xf>
    <xf numFmtId="164" fontId="0" fillId="0" borderId="0" xfId="0" applyNumberForma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wrapText="1"/>
    </xf>
    <xf numFmtId="14" fontId="0" fillId="0" borderId="0" xfId="0" applyNumberFormat="1" applyAlignment="1">
      <alignment wrapText="1"/>
    </xf>
    <xf numFmtId="164" fontId="0" fillId="0" borderId="0" xfId="0" applyNumberFormat="1" applyAlignment="1">
      <alignment wrapText="1"/>
    </xf>
    <xf numFmtId="49" fontId="4" fillId="4" borderId="0" xfId="0" applyNumberFormat="1" applyFont="1" applyFill="1" applyAlignment="1">
      <alignment wrapText="1"/>
    </xf>
    <xf numFmtId="0" fontId="0" fillId="3" borderId="0" xfId="0" applyFill="1" applyAlignment="1">
      <alignment horizontal="center" vertical="center" wrapText="1"/>
    </xf>
    <xf numFmtId="0" fontId="0" fillId="3" borderId="0" xfId="0" applyFill="1" applyAlignment="1">
      <alignment horizontal="center" vertical="center"/>
    </xf>
    <xf numFmtId="0" fontId="1" fillId="0" borderId="0" xfId="0" applyFont="1" applyAlignment="1">
      <alignment vertical="center" wrapText="1"/>
    </xf>
    <xf numFmtId="0" fontId="2" fillId="2" borderId="0" xfId="0" applyFont="1" applyFill="1" applyAlignment="1">
      <alignment horizontal="center" vertical="center" wrapText="1"/>
    </xf>
    <xf numFmtId="0" fontId="3" fillId="0" borderId="0" xfId="0" applyFont="1" applyAlignment="1">
      <alignment wrapText="1"/>
    </xf>
    <xf numFmtId="164" fontId="3" fillId="3" borderId="0" xfId="0" applyNumberFormat="1" applyFont="1" applyFill="1" applyAlignment="1">
      <alignment horizontal="center" vertical="center"/>
    </xf>
    <xf numFmtId="0" fontId="3" fillId="0" borderId="0" xfId="0" applyFont="1"/>
    <xf numFmtId="164" fontId="3" fillId="0" borderId="0" xfId="0" applyNumberFormat="1" applyFont="1" applyAlignment="1">
      <alignment horizontal="center" vertical="center"/>
    </xf>
    <xf numFmtId="0" fontId="3" fillId="3" borderId="0" xfId="0" applyFont="1" applyFill="1" applyAlignment="1">
      <alignment horizontal="center" vertical="center" wrapText="1"/>
    </xf>
    <xf numFmtId="14" fontId="0" fillId="3" borderId="0" xfId="0" applyNumberFormat="1" applyFill="1" applyAlignment="1">
      <alignment horizontal="center" vertical="center" wrapText="1"/>
    </xf>
    <xf numFmtId="164" fontId="0" fillId="3" borderId="0" xfId="0" applyNumberFormat="1" applyFill="1" applyAlignment="1">
      <alignment horizontal="center" vertical="center" wrapText="1"/>
    </xf>
    <xf numFmtId="0" fontId="3" fillId="3" borderId="0" xfId="0" applyFont="1" applyFill="1"/>
    <xf numFmtId="0" fontId="5" fillId="3" borderId="0" xfId="0" applyFont="1" applyFill="1" applyAlignment="1">
      <alignment horizontal="center" vertical="center" wrapText="1"/>
    </xf>
    <xf numFmtId="0" fontId="6" fillId="0" borderId="0" xfId="0" applyFont="1" applyAlignment="1">
      <alignment horizontal="center" vertical="center" wrapText="1"/>
    </xf>
    <xf numFmtId="17" fontId="7" fillId="5" borderId="0" xfId="0" applyNumberFormat="1" applyFont="1" applyFill="1" applyAlignment="1">
      <alignment horizontal="center" vertical="center" wrapText="1"/>
    </xf>
    <xf numFmtId="9" fontId="0" fillId="0" borderId="0" xfId="0" applyNumberFormat="1" applyAlignment="1">
      <alignment horizontal="center" vertical="center" wrapText="1"/>
    </xf>
    <xf numFmtId="0" fontId="3"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wrapText="1"/>
    </xf>
    <xf numFmtId="164" fontId="0" fillId="0" borderId="0" xfId="0" applyNumberFormat="1" applyAlignment="1">
      <alignment horizontal="left"/>
    </xf>
    <xf numFmtId="16" fontId="0" fillId="0" borderId="0" xfId="0" applyNumberFormat="1" applyAlignment="1">
      <alignment horizontal="center" vertical="center" wrapText="1"/>
    </xf>
    <xf numFmtId="0" fontId="0" fillId="6" borderId="1" xfId="0" applyFill="1" applyBorder="1" applyAlignment="1">
      <alignment horizontal="center" vertical="center"/>
    </xf>
    <xf numFmtId="14" fontId="0" fillId="6" borderId="1" xfId="0" applyNumberFormat="1" applyFill="1" applyBorder="1" applyAlignment="1">
      <alignment horizontal="center" vertical="center"/>
    </xf>
    <xf numFmtId="0" fontId="0" fillId="6" borderId="1" xfId="0" applyFill="1" applyBorder="1" applyAlignment="1">
      <alignment horizontal="center" vertical="center" wrapText="1"/>
    </xf>
    <xf numFmtId="164" fontId="0" fillId="6" borderId="1" xfId="0" applyNumberFormat="1" applyFill="1" applyBorder="1" applyAlignment="1">
      <alignment horizontal="center" vertical="center"/>
    </xf>
    <xf numFmtId="9" fontId="0" fillId="6" borderId="1" xfId="0" applyNumberForma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164"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1" fillId="0" borderId="1" xfId="0" applyFont="1" applyBorder="1" applyAlignment="1">
      <alignment horizontal="center" vertical="center"/>
    </xf>
    <xf numFmtId="0" fontId="1" fillId="6" borderId="1" xfId="0" applyFont="1" applyFill="1" applyBorder="1" applyAlignment="1">
      <alignment horizontal="center" vertical="center"/>
    </xf>
    <xf numFmtId="164" fontId="1" fillId="6" borderId="1" xfId="0" applyNumberFormat="1" applyFont="1" applyFill="1" applyBorder="1" applyAlignment="1">
      <alignment horizontal="center" vertical="center"/>
    </xf>
    <xf numFmtId="164" fontId="1" fillId="0" borderId="1" xfId="0" applyNumberFormat="1" applyFont="1" applyBorder="1" applyAlignment="1">
      <alignment horizontal="center" vertical="center"/>
    </xf>
    <xf numFmtId="14" fontId="0" fillId="6" borderId="1" xfId="0" applyNumberFormat="1" applyFill="1" applyBorder="1" applyAlignment="1">
      <alignment horizontal="center" vertical="center" wrapText="1"/>
    </xf>
    <xf numFmtId="0" fontId="3" fillId="6" borderId="1" xfId="0" applyFont="1" applyFill="1" applyBorder="1" applyAlignment="1">
      <alignment horizontal="center" vertical="center"/>
    </xf>
    <xf numFmtId="164" fontId="0" fillId="6" borderId="1" xfId="0" applyNumberFormat="1" applyFill="1" applyBorder="1" applyAlignment="1">
      <alignment horizontal="center" vertical="center" wrapText="1"/>
    </xf>
    <xf numFmtId="9" fontId="0" fillId="6"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9" fontId="0" fillId="0" borderId="1" xfId="0" applyNumberFormat="1" applyBorder="1" applyAlignment="1">
      <alignment horizontal="center" vertical="center" wrapText="1"/>
    </xf>
    <xf numFmtId="44" fontId="3" fillId="6" borderId="1" xfId="0" applyNumberFormat="1" applyFont="1" applyFill="1" applyBorder="1" applyAlignment="1">
      <alignment horizontal="center" vertical="center"/>
    </xf>
    <xf numFmtId="0" fontId="3" fillId="0" borderId="1" xfId="0" applyFont="1" applyBorder="1" applyAlignment="1">
      <alignment horizontal="center" vertical="center"/>
    </xf>
    <xf numFmtId="18" fontId="0" fillId="6" borderId="1" xfId="0" applyNumberFormat="1" applyFill="1" applyBorder="1" applyAlignment="1">
      <alignment horizontal="center" vertical="center"/>
    </xf>
    <xf numFmtId="20" fontId="0" fillId="0" borderId="0" xfId="0" applyNumberFormat="1" applyAlignment="1">
      <alignment horizontal="center" vertical="center"/>
    </xf>
    <xf numFmtId="44" fontId="3" fillId="0" borderId="0" xfId="0" applyNumberFormat="1" applyFont="1" applyAlignment="1">
      <alignment horizontal="center" vertical="center"/>
    </xf>
    <xf numFmtId="0" fontId="0" fillId="7" borderId="1" xfId="0" applyFill="1" applyBorder="1" applyAlignment="1">
      <alignment horizontal="center" vertical="center" wrapText="1"/>
    </xf>
    <xf numFmtId="14" fontId="0" fillId="7" borderId="1" xfId="0" applyNumberFormat="1" applyFill="1" applyBorder="1" applyAlignment="1">
      <alignment horizontal="center" vertical="center" wrapText="1"/>
    </xf>
    <xf numFmtId="164" fontId="0" fillId="7" borderId="1" xfId="0" applyNumberFormat="1" applyFill="1" applyBorder="1" applyAlignment="1">
      <alignment horizontal="center" vertical="center" wrapText="1"/>
    </xf>
    <xf numFmtId="9" fontId="0" fillId="7" borderId="1" xfId="0" applyNumberFormat="1" applyFill="1" applyBorder="1" applyAlignment="1">
      <alignment horizontal="center" vertical="center" wrapText="1"/>
    </xf>
    <xf numFmtId="0" fontId="0" fillId="7" borderId="1" xfId="0" applyFill="1" applyBorder="1" applyAlignment="1">
      <alignment horizontal="center" vertical="center"/>
    </xf>
    <xf numFmtId="14" fontId="0" fillId="7" borderId="1" xfId="0" applyNumberFormat="1" applyFill="1" applyBorder="1" applyAlignment="1">
      <alignment horizontal="center" vertical="center"/>
    </xf>
    <xf numFmtId="164" fontId="0" fillId="7" borderId="1" xfId="0" applyNumberFormat="1" applyFill="1" applyBorder="1" applyAlignment="1">
      <alignment horizontal="center" vertical="center"/>
    </xf>
    <xf numFmtId="9" fontId="0" fillId="7" borderId="1" xfId="0" applyNumberFormat="1" applyFill="1" applyBorder="1" applyAlignment="1">
      <alignment horizontal="center" vertical="center"/>
    </xf>
    <xf numFmtId="16" fontId="0" fillId="6" borderId="1" xfId="0" applyNumberFormat="1" applyFill="1" applyBorder="1" applyAlignment="1">
      <alignment horizontal="center" vertical="center"/>
    </xf>
    <xf numFmtId="0" fontId="3" fillId="7" borderId="1" xfId="0" applyFont="1" applyFill="1" applyBorder="1" applyAlignment="1">
      <alignment horizontal="center" vertical="center"/>
    </xf>
    <xf numFmtId="16" fontId="0" fillId="7" borderId="1" xfId="0" applyNumberFormat="1" applyFill="1" applyBorder="1" applyAlignment="1">
      <alignment horizontal="center" vertical="center"/>
    </xf>
    <xf numFmtId="0" fontId="0" fillId="8" borderId="1" xfId="0" applyFill="1" applyBorder="1" applyAlignment="1">
      <alignment horizontal="center" vertical="center"/>
    </xf>
    <xf numFmtId="44" fontId="3" fillId="7" borderId="1" xfId="0" applyNumberFormat="1" applyFont="1" applyFill="1" applyBorder="1" applyAlignment="1">
      <alignment horizontal="center" vertical="center"/>
    </xf>
    <xf numFmtId="14" fontId="3" fillId="0" borderId="0" xfId="0" applyNumberFormat="1" applyFont="1" applyAlignment="1">
      <alignment horizontal="center" vertical="center"/>
    </xf>
    <xf numFmtId="0" fontId="9" fillId="10" borderId="0" xfId="0" applyFont="1" applyFill="1" applyAlignment="1">
      <alignment horizontal="left"/>
    </xf>
    <xf numFmtId="0" fontId="9" fillId="11" borderId="0" xfId="0" applyFont="1" applyFill="1" applyAlignment="1">
      <alignment horizontal="left"/>
    </xf>
    <xf numFmtId="0" fontId="9" fillId="12" borderId="0" xfId="0" applyFont="1" applyFill="1" applyAlignment="1">
      <alignment horizontal="left"/>
    </xf>
    <xf numFmtId="0" fontId="9" fillId="13" borderId="0" xfId="0" applyFont="1" applyFill="1" applyAlignment="1">
      <alignment horizontal="left"/>
    </xf>
    <xf numFmtId="0" fontId="9" fillId="14" borderId="0" xfId="0" applyFont="1" applyFill="1" applyAlignment="1">
      <alignment horizontal="left"/>
    </xf>
    <xf numFmtId="0" fontId="9" fillId="15" borderId="0" xfId="0" applyFont="1" applyFill="1" applyAlignment="1">
      <alignment horizontal="left"/>
    </xf>
    <xf numFmtId="0" fontId="10" fillId="10" borderId="0" xfId="0" applyFont="1" applyFill="1" applyAlignment="1">
      <alignment horizontal="center" vertical="center" wrapText="1"/>
    </xf>
    <xf numFmtId="0" fontId="10" fillId="11" borderId="0" xfId="0" applyFont="1" applyFill="1" applyAlignment="1">
      <alignment horizontal="center" vertical="center" wrapText="1"/>
    </xf>
    <xf numFmtId="0" fontId="10" fillId="12" borderId="0" xfId="0" applyFont="1" applyFill="1" applyAlignment="1">
      <alignment horizontal="center" vertical="center" wrapText="1"/>
    </xf>
    <xf numFmtId="0" fontId="10" fillId="13" borderId="0" xfId="0" applyFont="1" applyFill="1" applyAlignment="1">
      <alignment horizontal="center" vertical="center" wrapText="1"/>
    </xf>
    <xf numFmtId="10" fontId="10" fillId="14" borderId="0" xfId="0" applyNumberFormat="1" applyFont="1" applyFill="1" applyAlignment="1">
      <alignment horizontal="center" vertical="center" wrapText="1"/>
    </xf>
    <xf numFmtId="10" fontId="10" fillId="10" borderId="0" xfId="0" applyNumberFormat="1" applyFont="1" applyFill="1" applyAlignment="1">
      <alignment horizontal="center" vertical="center" wrapText="1"/>
    </xf>
    <xf numFmtId="10" fontId="10" fillId="15" borderId="0" xfId="0" applyNumberFormat="1" applyFont="1" applyFill="1" applyAlignment="1">
      <alignment horizontal="center" vertical="center" wrapText="1"/>
    </xf>
    <xf numFmtId="0" fontId="8" fillId="9" borderId="0" xfId="0" applyFont="1" applyFill="1" applyAlignment="1">
      <alignment horizontal="center" vertical="center"/>
    </xf>
  </cellXfs>
  <cellStyles count="1">
    <cellStyle name="Normal" xfId="0" builtinId="0"/>
  </cellStyles>
  <dxfs count="433">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00B050"/>
        </patternFill>
      </fill>
    </dxf>
    <dxf>
      <font>
        <color theme="1"/>
      </font>
      <fill>
        <patternFill patternType="solid">
          <bgColor rgb="FF00B0F0"/>
        </patternFill>
      </fill>
    </dxf>
    <dxf>
      <font>
        <color theme="1"/>
      </font>
      <fill>
        <patternFill patternType="solid">
          <bgColor theme="5" tint="-0.249977111117893"/>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rgb="FFFF000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00B050"/>
        </patternFill>
      </fill>
    </dxf>
    <dxf>
      <font>
        <color theme="1"/>
      </font>
      <fill>
        <patternFill patternType="solid">
          <bgColor rgb="FF00B0F0"/>
        </patternFill>
      </fill>
    </dxf>
    <dxf>
      <font>
        <color theme="1"/>
      </font>
      <fill>
        <patternFill patternType="solid">
          <bgColor theme="5" tint="-0.249977111117893"/>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rgb="FFFF000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00B050"/>
        </patternFill>
      </fill>
    </dxf>
    <dxf>
      <font>
        <color theme="1"/>
      </font>
      <fill>
        <patternFill patternType="solid">
          <bgColor rgb="FF00B0F0"/>
        </patternFill>
      </fill>
    </dxf>
    <dxf>
      <font>
        <color theme="1"/>
      </font>
      <fill>
        <patternFill patternType="solid">
          <bgColor theme="5" tint="-0.249977111117893"/>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patternType="solid">
          <bgColor rgb="FF0070C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1"/>
      </font>
      <fill>
        <patternFill patternType="solid">
          <bgColor rgb="FFFF0000"/>
        </patternFill>
      </fill>
    </dxf>
    <dxf>
      <font>
        <color theme="1"/>
      </font>
      <fill>
        <patternFill patternType="solid">
          <bgColor rgb="FF00B0F0"/>
        </patternFill>
      </fill>
    </dxf>
    <dxf>
      <font>
        <color theme="1"/>
      </font>
      <fill>
        <patternFill patternType="solid">
          <bgColor theme="5" tint="-0.249977111117893"/>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4B084"/>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0070C0"/>
        </patternFill>
      </fill>
    </dxf>
    <dxf>
      <font>
        <color theme="1"/>
      </font>
      <fill>
        <patternFill patternType="solid">
          <bgColor rgb="FFFF0000"/>
        </patternFill>
      </fill>
    </dxf>
    <dxf>
      <font>
        <color theme="1"/>
      </font>
      <fill>
        <patternFill patternType="solid">
          <bgColor rgb="FFF074F2"/>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theme="5" tint="-0.249977111117893"/>
        </patternFill>
      </fill>
    </dxf>
    <dxf>
      <font>
        <color theme="1"/>
      </font>
      <fill>
        <patternFill patternType="solid">
          <bgColor rgb="FF00B0F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theme="5" tint="0.39997558519241921"/>
        </patternFill>
      </fill>
    </dxf>
    <dxf>
      <font>
        <color theme="1"/>
      </font>
      <fill>
        <patternFill patternType="solid">
          <bgColor rgb="FF92D05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B0F0"/>
        </patternFill>
      </fill>
    </dxf>
    <dxf>
      <font>
        <color theme="1"/>
      </font>
      <fill>
        <patternFill patternType="solid">
          <bgColor rgb="FFFF0000"/>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theme="5" tint="-0.249977111117893"/>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theme="5" tint="-0.249977111117893"/>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FFFF00"/>
        </patternFill>
      </fill>
    </dxf>
    <dxf>
      <font>
        <color theme="1"/>
      </font>
      <fill>
        <patternFill patternType="solid">
          <bgColor rgb="FFFF0000"/>
        </patternFill>
      </fill>
    </dxf>
    <dxf>
      <font>
        <color theme="1"/>
      </font>
      <fill>
        <patternFill patternType="solid">
          <bgColor rgb="FFFFFF0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theme="5" tint="0.39997558519241921"/>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92D050"/>
        </patternFill>
      </fill>
    </dxf>
    <dxf>
      <font>
        <color theme="1"/>
      </font>
      <fill>
        <patternFill patternType="solid">
          <bgColor theme="5" tint="0.39997558519241921"/>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theme="5" tint="-0.249977111117893"/>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F00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rgb="FF00B0F0"/>
        </patternFill>
      </fill>
    </dxf>
    <dxf>
      <font>
        <color theme="1"/>
      </font>
      <fill>
        <patternFill patternType="solid">
          <bgColor theme="5" tint="-0.249977111117893"/>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rgb="FFFFFF0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F0000"/>
        </patternFill>
      </fill>
    </dxf>
    <dxf>
      <font>
        <color theme="1"/>
      </font>
      <fill>
        <patternFill patternType="solid">
          <bgColor rgb="FFF4B084"/>
        </patternFill>
      </fill>
    </dxf>
    <dxf>
      <font>
        <color theme="1"/>
      </font>
      <fill>
        <patternFill patternType="solid">
          <bgColor theme="5" tint="0.39997558519241921"/>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FF0000"/>
        </patternFill>
      </fill>
    </dxf>
    <dxf>
      <font>
        <color theme="1"/>
      </font>
      <fill>
        <patternFill patternType="solid">
          <bgColor rgb="FFFFFF00"/>
        </patternFill>
      </fill>
    </dxf>
    <dxf>
      <font>
        <color theme="1"/>
      </font>
      <fill>
        <patternFill patternType="solid">
          <bgColor theme="5" tint="-0.249977111117893"/>
        </patternFill>
      </fill>
    </dxf>
    <dxf>
      <font>
        <color theme="1"/>
      </font>
      <fill>
        <patternFill patternType="solid">
          <bgColor rgb="FFFFFF00"/>
        </patternFill>
      </fill>
    </dxf>
    <dxf>
      <font>
        <color theme="1"/>
      </font>
      <fill>
        <patternFill patternType="solid">
          <bgColor rgb="FF0070C0"/>
        </patternFill>
      </fill>
    </dxf>
    <dxf>
      <font>
        <color theme="1"/>
      </font>
      <fill>
        <patternFill patternType="solid">
          <bgColor rgb="FF00B0F0"/>
        </patternFill>
      </fill>
    </dxf>
    <dxf>
      <font>
        <color theme="1"/>
      </font>
      <fill>
        <patternFill patternType="solid">
          <bgColor rgb="FF92D050"/>
        </patternFill>
      </fill>
    </dxf>
    <dxf>
      <font>
        <color theme="1"/>
      </font>
      <fill>
        <patternFill patternType="solid">
          <bgColor rgb="FFF074F2"/>
        </patternFill>
      </fill>
    </dxf>
    <dxf>
      <font>
        <color theme="1"/>
      </font>
      <fill>
        <patternFill patternType="solid">
          <bgColor rgb="FF00B050"/>
        </patternFill>
      </fill>
    </dxf>
    <dxf>
      <font>
        <color theme="1"/>
      </font>
      <fill>
        <patternFill patternType="solid">
          <bgColor theme="9" tint="0.59999389629810485"/>
        </patternFill>
      </fill>
    </dxf>
    <dxf>
      <font>
        <color theme="1"/>
      </font>
      <fill>
        <patternFill patternType="solid">
          <bgColor rgb="FFFF0000"/>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theme="5" tint="-0.249977111117893"/>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FF000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FFF0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rgb="FFFF0000"/>
        </patternFill>
      </fill>
    </dxf>
    <dxf>
      <font>
        <color theme="1"/>
      </font>
      <fill>
        <patternFill patternType="solid">
          <bgColor rgb="FF0070C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00B050"/>
        </patternFill>
      </fill>
    </dxf>
    <dxf>
      <font>
        <color theme="1"/>
      </font>
      <fill>
        <patternFill patternType="solid">
          <bgColor rgb="FFF074F2"/>
        </patternFill>
      </fill>
    </dxf>
    <dxf>
      <font>
        <color theme="1"/>
      </font>
      <fill>
        <patternFill patternType="solid">
          <bgColor rgb="FF00B0F0"/>
        </patternFill>
      </fill>
    </dxf>
    <dxf>
      <font>
        <color theme="1"/>
      </font>
      <fill>
        <patternFill patternType="solid">
          <bgColor theme="5" tint="-0.249977111117893"/>
        </patternFill>
      </fill>
    </dxf>
    <dxf>
      <font>
        <color theme="1"/>
      </font>
      <fill>
        <patternFill patternType="solid">
          <bgColor rgb="FF00B05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00B0F0"/>
        </patternFill>
      </fill>
    </dxf>
    <dxf>
      <font>
        <color theme="1"/>
      </font>
      <fill>
        <patternFill patternType="solid">
          <bgColor theme="5" tint="-0.249977111117893"/>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FF0000"/>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theme="5" tint="-0.249977111117893"/>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FFFF0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92D050"/>
        </patternFill>
      </fill>
    </dxf>
    <dxf>
      <font>
        <color theme="1"/>
      </font>
      <fill>
        <patternFill patternType="solid">
          <bgColor rgb="FF92D050"/>
        </patternFill>
      </fill>
    </dxf>
    <dxf>
      <font>
        <color theme="1"/>
      </font>
      <fill>
        <patternFill patternType="solid">
          <bgColor theme="5" tint="0.39997558519241921"/>
        </patternFill>
      </fill>
    </dxf>
    <dxf>
      <font>
        <color theme="1"/>
      </font>
      <fill>
        <patternFill patternType="solid">
          <bgColor rgb="FFFF0000"/>
        </patternFill>
      </fill>
    </dxf>
    <dxf>
      <font>
        <color theme="1"/>
      </font>
      <fill>
        <patternFill patternType="solid">
          <bgColor rgb="FF00B0F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B0F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00B050"/>
        </patternFill>
      </fill>
    </dxf>
    <dxf>
      <font>
        <color theme="1"/>
      </font>
      <fill>
        <patternFill patternType="solid">
          <bgColor rgb="FF00B0F0"/>
        </patternFill>
      </fill>
    </dxf>
    <dxf>
      <font>
        <color theme="1"/>
      </font>
      <fill>
        <patternFill patternType="solid">
          <bgColor theme="5" tint="-0.249977111117893"/>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rgb="FFFF0000"/>
        </patternFill>
      </fill>
    </dxf>
    <dxf>
      <font>
        <color theme="1"/>
      </font>
      <fill>
        <patternFill patternType="solid">
          <bgColor rgb="FF0070C0"/>
        </patternFill>
      </fill>
    </dxf>
    <dxf>
      <font>
        <color theme="1"/>
      </font>
      <fill>
        <patternFill patternType="solid">
          <bgColor rgb="FFFF000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00B0F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theme="5" tint="-0.249977111117893"/>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00B05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theme="5" tint="-0.249977111117893"/>
        </patternFill>
      </fill>
    </dxf>
    <dxf>
      <font>
        <color theme="1"/>
      </font>
      <fill>
        <patternFill patternType="solid">
          <bgColor rgb="FF00B0F0"/>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00B0F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theme="5" tint="0.39997558519241921"/>
        </patternFill>
      </fill>
    </dxf>
    <dxf>
      <font>
        <color theme="1"/>
      </font>
      <fill>
        <patternFill patternType="solid">
          <bgColor rgb="FFFFFF00"/>
        </patternFill>
      </fill>
    </dxf>
    <dxf>
      <font>
        <color theme="1"/>
      </font>
      <fill>
        <patternFill patternType="solid">
          <bgColor rgb="FF00B0F0"/>
        </patternFill>
      </fill>
    </dxf>
    <dxf>
      <font>
        <color theme="1"/>
      </font>
      <fill>
        <patternFill patternType="solid">
          <bgColor rgb="FFF074F2"/>
        </patternFill>
      </fill>
    </dxf>
    <dxf>
      <font>
        <color theme="1"/>
      </font>
      <fill>
        <patternFill patternType="solid">
          <bgColor rgb="FF0070C0"/>
        </patternFill>
      </fill>
    </dxf>
    <dxf>
      <font>
        <color theme="1"/>
      </font>
      <fill>
        <patternFill patternType="solid">
          <bgColor rgb="FF92D050"/>
        </patternFill>
      </fill>
    </dxf>
    <dxf>
      <font>
        <color theme="1"/>
      </font>
      <fill>
        <patternFill patternType="solid">
          <bgColor rgb="FF0070C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rgb="FF00B0F0"/>
        </patternFill>
      </fill>
    </dxf>
    <dxf>
      <font>
        <color theme="1"/>
      </font>
      <fill>
        <patternFill patternType="solid">
          <bgColor theme="5" tint="-0.249977111117893"/>
        </patternFill>
      </fill>
    </dxf>
    <dxf>
      <font>
        <color theme="1"/>
      </font>
      <fill>
        <patternFill patternType="solid">
          <bgColor rgb="FF00B050"/>
        </patternFill>
      </fill>
    </dxf>
    <dxf>
      <font>
        <color theme="1"/>
      </font>
      <fill>
        <patternFill patternType="solid">
          <bgColor rgb="FFF074F2"/>
        </patternFill>
      </fill>
    </dxf>
    <dxf>
      <font>
        <color theme="1"/>
      </font>
      <fill>
        <patternFill patternType="solid">
          <bgColor rgb="FF0070C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1"/>
      </font>
      <fill>
        <patternFill patternType="solid">
          <bgColor rgb="FF00B050"/>
        </patternFill>
      </fill>
    </dxf>
    <dxf>
      <font>
        <color theme="1"/>
      </font>
      <fill>
        <patternFill patternType="solid">
          <bgColor rgb="FF00B05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0070C0"/>
        </patternFill>
      </fill>
    </dxf>
    <dxf>
      <font>
        <color theme="1"/>
      </font>
      <fill>
        <patternFill patternType="solid">
          <bgColor theme="5" tint="0.39997558519241921"/>
        </patternFill>
      </fill>
    </dxf>
    <dxf>
      <font>
        <color theme="1"/>
      </font>
      <fill>
        <patternFill patternType="solid">
          <bgColor rgb="FF00B0F0"/>
        </patternFill>
      </fill>
    </dxf>
    <dxf>
      <font>
        <color theme="1"/>
      </font>
      <fill>
        <patternFill patternType="solid">
          <bgColor rgb="FFFF0000"/>
        </patternFill>
      </fill>
    </dxf>
    <dxf>
      <font>
        <color theme="1"/>
      </font>
      <fill>
        <patternFill patternType="solid">
          <bgColor rgb="FFF074F2"/>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theme="5" tint="-0.249977111117893"/>
        </patternFill>
      </fill>
    </dxf>
    <dxf>
      <font>
        <color theme="1"/>
      </font>
      <fill>
        <patternFill patternType="solid">
          <bgColor rgb="FF00B0F0"/>
        </patternFill>
      </fill>
    </dxf>
    <dxf>
      <font>
        <color theme="1"/>
      </font>
      <fill>
        <patternFill patternType="solid">
          <bgColor rgb="FF92D050"/>
        </patternFill>
      </fill>
    </dxf>
    <dxf>
      <font>
        <color theme="0"/>
      </font>
      <fill>
        <patternFill patternType="solid">
          <bgColor rgb="FFC00000"/>
        </patternFill>
      </fill>
    </dxf>
    <dxf>
      <font>
        <color theme="1"/>
      </font>
      <fill>
        <patternFill patternType="solid">
          <bgColor rgb="FFFFFF00"/>
        </patternFill>
      </fill>
    </dxf>
    <dxf>
      <font>
        <color theme="1"/>
      </font>
      <fill>
        <patternFill patternType="solid">
          <bgColor rgb="FF00B0F0"/>
        </patternFill>
      </fill>
    </dxf>
    <dxf>
      <font>
        <color theme="1"/>
      </font>
      <fill>
        <patternFill patternType="solid">
          <bgColor rgb="FF0070C0"/>
        </patternFill>
      </fill>
    </dxf>
    <dxf>
      <font>
        <color theme="1"/>
      </font>
      <fill>
        <patternFill patternType="solid">
          <bgColor rgb="FFF074F2"/>
        </patternFill>
      </fill>
    </dxf>
    <dxf>
      <font>
        <color theme="1"/>
      </font>
      <fill>
        <patternFill patternType="solid">
          <bgColor rgb="FFFFFF00"/>
        </patternFill>
      </fill>
    </dxf>
    <dxf>
      <font>
        <color theme="1"/>
      </font>
      <fill>
        <patternFill patternType="solid">
          <bgColor rgb="FF00B050"/>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theme="5" tint="0.39997558519241921"/>
        </patternFill>
      </fill>
    </dxf>
    <dxf>
      <font>
        <color theme="1"/>
      </font>
      <fill>
        <patternFill patternType="solid">
          <bgColor theme="5" tint="-0.249977111117893"/>
        </patternFill>
      </fill>
    </dxf>
    <dxf>
      <font>
        <color theme="1"/>
      </font>
      <fill>
        <patternFill patternType="solid">
          <bgColor rgb="FF92D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rgb="FFFF0000"/>
        </patternFill>
      </fill>
    </dxf>
    <dxf>
      <font>
        <color theme="1"/>
      </font>
      <fill>
        <patternFill patternType="solid">
          <bgColor rgb="FF0070C0"/>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FFFF0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theme="5" tint="0.39997558519241921"/>
        </patternFill>
      </fill>
    </dxf>
    <dxf>
      <font>
        <color theme="1"/>
      </font>
      <fill>
        <patternFill patternType="solid">
          <bgColor rgb="FFF074F2"/>
        </patternFill>
      </fill>
    </dxf>
    <dxf>
      <font>
        <color theme="1"/>
      </font>
      <fill>
        <patternFill patternType="solid">
          <bgColor rgb="FF00B0F0"/>
        </patternFill>
      </fill>
    </dxf>
    <dxf>
      <font>
        <color theme="1"/>
      </font>
      <fill>
        <patternFill patternType="solid">
          <bgColor rgb="FFFF0000"/>
        </patternFill>
      </fill>
    </dxf>
    <dxf>
      <font>
        <color theme="1"/>
      </font>
      <fill>
        <patternFill patternType="solid">
          <bgColor rgb="FF00B050"/>
        </patternFill>
      </fill>
    </dxf>
    <dxf>
      <font>
        <color theme="1"/>
      </font>
      <fill>
        <patternFill patternType="solid">
          <bgColor rgb="FF92D050"/>
        </patternFill>
      </fill>
    </dxf>
    <dxf>
      <font>
        <color theme="1"/>
      </font>
      <fill>
        <patternFill patternType="solid">
          <bgColor rgb="FF00B050"/>
        </patternFill>
      </fill>
    </dxf>
    <dxf>
      <font>
        <color theme="1"/>
      </font>
      <fill>
        <patternFill patternType="solid">
          <bgColor theme="5" tint="-0.249977111117893"/>
        </patternFill>
      </fill>
    </dxf>
    <dxf>
      <font>
        <color theme="0"/>
      </font>
      <fill>
        <patternFill patternType="solid">
          <bgColor rgb="FFC00000"/>
        </patternFill>
      </fill>
    </dxf>
    <dxf>
      <font>
        <color theme="0"/>
      </font>
      <fill>
        <patternFill patternType="solid">
          <bgColor rgb="FFC00000"/>
        </patternFill>
      </fill>
    </dxf>
    <dxf>
      <font>
        <color theme="1"/>
      </font>
      <fill>
        <patternFill patternType="solid">
          <bgColor rgb="FFC00000"/>
        </patternFill>
      </fill>
    </dxf>
    <dxf>
      <font>
        <color theme="0"/>
      </font>
      <fill>
        <patternFill patternType="solid">
          <bgColor rgb="FFC00000"/>
        </patternFill>
      </fill>
    </dxf>
    <dxf>
      <font>
        <color theme="1"/>
      </font>
      <fill>
        <patternFill patternType="solid">
          <bgColor rgb="FFC00000"/>
        </patternFill>
      </fill>
    </dxf>
    <dxf>
      <numFmt numFmtId="19" formatCode="m/d/yyyy"/>
    </dxf>
    <dxf>
      <numFmt numFmtId="13" formatCode="0%"/>
    </dxf>
    <dxf>
      <numFmt numFmtId="164" formatCode="_([$$-409]* #,##0.00_);_([$$-409]* \(#,##0.00\);_([$$-409]* &quot;-&quot;??_);_(@_)"/>
    </dxf>
    <dxf>
      <numFmt numFmtId="164" formatCode="_([$$-409]* #,##0.00_);_([$$-409]* \(#,##0.00\);_([$$-409]* &quot;-&quot;??_);_(@_)"/>
    </dxf>
    <dxf>
      <numFmt numFmtId="164" formatCode="_([$$-409]* #,##0.00_);_([$$-409]* \(#,##0.00\);_([$$-409]* &quot;-&quot;??_);_(@_)"/>
    </dxf>
    <dxf>
      <numFmt numFmtId="19" formatCode="m/d/yyyy"/>
    </dxf>
    <dxf>
      <numFmt numFmtId="19" formatCode="m/d/yyyy"/>
    </dxf>
    <dxf>
      <numFmt numFmtId="19" formatCode="m/d/yyyy"/>
    </dxf>
    <dxf>
      <numFmt numFmtId="13" formatCode="0%"/>
    </dxf>
    <dxf>
      <numFmt numFmtId="164" formatCode="_([$$-409]* #,##0.00_);_([$$-409]* \(#,##0.00\);_([$$-409]* &quot;-&quot;??_);_(@_)"/>
    </dxf>
    <dxf>
      <numFmt numFmtId="164" formatCode="_([$$-409]* #,##0.00_);_([$$-409]* \(#,##0.00\);_([$$-409]* &quot;-&quot;??_);_(@_)"/>
    </dxf>
    <dxf>
      <numFmt numFmtId="164" formatCode="_([$$-409]* #,##0.00_);_([$$-409]* \(#,##0.00\);_([$$-409]* &quot;-&quot;??_);_(@_)"/>
    </dxf>
    <dxf>
      <numFmt numFmtId="19" formatCode="m/d/yyyy"/>
    </dxf>
    <dxf>
      <numFmt numFmtId="19" formatCode="m/d/yyyy"/>
    </dxf>
    <dxf>
      <numFmt numFmtId="19" formatCode="m/d/yyyy"/>
    </dxf>
    <dxf>
      <numFmt numFmtId="13" formatCode="0%"/>
    </dxf>
    <dxf>
      <numFmt numFmtId="164" formatCode="_([$$-409]* #,##0.00_);_([$$-409]* \(#,##0.00\);_([$$-409]* &quot;-&quot;??_);_(@_)"/>
    </dxf>
    <dxf>
      <numFmt numFmtId="164" formatCode="_([$$-409]* #,##0.00_);_([$$-409]* \(#,##0.00\);_([$$-409]* &quot;-&quot;??_);_(@_)"/>
    </dxf>
    <dxf>
      <numFmt numFmtId="164" formatCode="_([$$-409]* #,##0.00_);_([$$-409]* \(#,##0.00\);_([$$-409]* &quot;-&quot;??_);_(@_)"/>
    </dxf>
    <dxf>
      <numFmt numFmtId="19" formatCode="m/d/yyyy"/>
    </dxf>
    <dxf>
      <numFmt numFmtId="19" formatCode="m/d/yyyy"/>
    </dxf>
    <dxf>
      <numFmt numFmtId="19"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3" formatCode="0%"/>
      <alignment horizontal="center" vertical="center" textRotation="0" wrapText="1" indent="0" justifyLastLine="0" shrinkToFit="0" readingOrder="0"/>
    </dxf>
    <dxf>
      <numFmt numFmtId="164" formatCode="_([$$-409]* #,##0.00_);_([$$-409]* \(#,##0.00\);_([$$-409]* &quot;-&quot;??_);_(@_)"/>
      <alignment horizontal="center" vertical="center" textRotation="0" wrapText="1" indent="0" justifyLastLine="0" shrinkToFit="0" readingOrder="0"/>
    </dxf>
    <dxf>
      <numFmt numFmtId="164" formatCode="_([$$-409]* #,##0.00_);_([$$-409]* \(#,##0.00\);_([$$-409]* &quot;-&quot;??_);_(@_)"/>
      <alignment horizontal="center" vertical="center" textRotation="0" wrapText="1" indent="0" justifyLastLine="0" shrinkToFit="0" readingOrder="0"/>
    </dxf>
    <dxf>
      <numFmt numFmtId="164" formatCode="_([$$-409]* #,##0.00_);_([$$-409]* \(#,##0.00\);_([$$-409]* &quot;-&quot;??_);_(@_)"/>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 2026 Status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solidFill>
                <a:srgbClr val="FFFFFF"/>
              </a:solidFill>
              <a:prstDash val="solid"/>
            </a:ln>
          </c:spPr>
          <c:dPt>
            <c:idx val="0"/>
            <c:bubble3D val="0"/>
            <c:spPr>
              <a:solidFill>
                <a:srgbClr val="375623"/>
              </a:solidFill>
              <a:ln w="19050">
                <a:solidFill>
                  <a:srgbClr val="FFFFFF"/>
                </a:solidFill>
                <a:prstDash val="solid"/>
              </a:ln>
              <a:effectLst/>
            </c:spPr>
            <c:extLst>
              <c:ext xmlns:c16="http://schemas.microsoft.com/office/drawing/2014/chart" uri="{C3380CC4-5D6E-409C-BE32-E72D297353CC}">
                <c16:uniqueId val="{00000000-938E-484A-B523-1566CFC31E9D}"/>
              </c:ext>
            </c:extLst>
          </c:dPt>
          <c:dPt>
            <c:idx val="1"/>
            <c:bubble3D val="0"/>
            <c:spPr>
              <a:solidFill>
                <a:schemeClr val="accent2"/>
              </a:solidFill>
              <a:ln w="19050">
                <a:solidFill>
                  <a:srgbClr val="FFFFFF"/>
                </a:solidFill>
                <a:prstDash val="solid"/>
              </a:ln>
              <a:effectLst/>
            </c:spPr>
            <c:extLst>
              <c:ext xmlns:c16="http://schemas.microsoft.com/office/drawing/2014/chart" uri="{C3380CC4-5D6E-409C-BE32-E72D297353CC}">
                <c16:uniqueId val="{00000003-2B79-4E98-B28E-62F304209ED0}"/>
              </c:ext>
            </c:extLst>
          </c:dPt>
          <c:dPt>
            <c:idx val="2"/>
            <c:bubble3D val="0"/>
            <c:spPr>
              <a:solidFill>
                <a:srgbClr val="FF0000"/>
              </a:solidFill>
              <a:ln w="19050">
                <a:solidFill>
                  <a:srgbClr val="FFFFFF"/>
                </a:solidFill>
                <a:prstDash val="solid"/>
              </a:ln>
              <a:effectLst/>
            </c:spPr>
            <c:extLst>
              <c:ext xmlns:c16="http://schemas.microsoft.com/office/drawing/2014/chart" uri="{C3380CC4-5D6E-409C-BE32-E72D297353CC}">
                <c16:uniqueId val="{00000001-938E-484A-B523-1566CFC31E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 '!$W$177:$W$179</c:f>
              <c:strCache>
                <c:ptCount val="3"/>
                <c:pt idx="0">
                  <c:v>Job Done</c:v>
                </c:pt>
                <c:pt idx="1">
                  <c:v>Billed For Incurred</c:v>
                </c:pt>
                <c:pt idx="2">
                  <c:v>Cancelled No Incurred</c:v>
                </c:pt>
              </c:strCache>
            </c:strRef>
          </c:cat>
          <c:val>
            <c:numRef>
              <c:f>'Q1 '!$X$177:$X$179</c:f>
              <c:numCache>
                <c:formatCode>General</c:formatCode>
                <c:ptCount val="3"/>
                <c:pt idx="0">
                  <c:v>193</c:v>
                </c:pt>
                <c:pt idx="1">
                  <c:v>22</c:v>
                </c:pt>
                <c:pt idx="2">
                  <c:v>18</c:v>
                </c:pt>
              </c:numCache>
            </c:numRef>
          </c:val>
          <c:extLst>
            <c:ext xmlns:c16="http://schemas.microsoft.com/office/drawing/2014/chart" uri="{C3380CC4-5D6E-409C-BE32-E72D297353CC}">
              <c16:uniqueId val="{00000000-0828-495E-AF80-15CAD8EDB3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28</xdr:col>
      <xdr:colOff>190500</xdr:colOff>
      <xdr:row>173</xdr:row>
      <xdr:rowOff>333375</xdr:rowOff>
    </xdr:from>
    <xdr:to>
      <xdr:col>35</xdr:col>
      <xdr:colOff>495300</xdr:colOff>
      <xdr:row>181</xdr:row>
      <xdr:rowOff>333375</xdr:rowOff>
    </xdr:to>
    <xdr:graphicFrame macro="">
      <xdr:nvGraphicFramePr>
        <xdr:cNvPr id="3" name="Chart 2">
          <a:extLst>
            <a:ext uri="{FF2B5EF4-FFF2-40B4-BE49-F238E27FC236}">
              <a16:creationId xmlns:a16="http://schemas.microsoft.com/office/drawing/2014/main" id="{0983F264-6C61-B868-2A8F-DB84DDCE4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#REF!</fb>
    <v>3</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3C9746-E160-4E6A-A584-BF92C2F90D9F}" name="Table1" displayName="Table1" ref="A1:T645" totalsRowShown="0" dataDxfId="432">
  <autoFilter ref="A1:T645" xr:uid="{9A3C9746-E160-4E6A-A584-BF92C2F90D9F}"/>
  <tableColumns count="20">
    <tableColumn id="1" xr3:uid="{19C4D6B1-D9E3-4BF0-9571-0945C6FD58B4}" name="WorkOrder" dataDxfId="431"/>
    <tableColumn id="2" xr3:uid="{76799557-1F97-4C11-934E-1B40E2EFAADA}" name="Dispatcher" dataDxfId="430"/>
    <tableColumn id="3" xr3:uid="{9D704164-9E77-44AC-B27A-A100FE958934}" name="Received Date" dataDxfId="429"/>
    <tableColumn id="4" xr3:uid="{F271EE99-94A3-4BF5-B314-F0FC43159D64}" name="ETA" dataDxfId="428"/>
    <tableColumn id="5" xr3:uid="{4A2534A0-2E0F-4772-A3BA-A647488CDA0D}" name="Store" dataDxfId="427"/>
    <tableColumn id="6" xr3:uid="{89A5F664-22D8-402C-975D-147273DD1F8A}" name="Trade" dataDxfId="426"/>
    <tableColumn id="7" xr3:uid="{F103BACD-37BF-4664-AE3D-F0A7A195FD81}" name="Subtrade" dataDxfId="425"/>
    <tableColumn id="8" xr3:uid="{8606471F-4C99-4079-94E1-C45ADE187AA6}" name="Address " dataDxfId="424"/>
    <tableColumn id="9" xr3:uid="{2D497D23-9AA5-4E7B-90AC-F65C2B86D41D}" name="City" dataDxfId="423"/>
    <tableColumn id="10" xr3:uid="{56CD2D4A-7100-42F8-92C6-8DB956BFC0A9}" name="State" dataDxfId="422"/>
    <tableColumn id="11" xr3:uid="{DD827502-6897-4055-9AC4-CD64389ED90D}" name="NTE " dataDxfId="421"/>
    <tableColumn id="12" xr3:uid="{B3FB69F4-C946-4EBB-8400-187F6402EBDF}" name="NTE Approved " dataDxfId="420"/>
    <tableColumn id="13" xr3:uid="{B53F2E82-1ECF-4DEF-849E-102D611F4AD1}" name="Cost" dataDxfId="419"/>
    <tableColumn id="14" xr3:uid="{9E54D181-D376-4D59-9B82-DAF0A2A26E20}" name="Profit %" dataDxfId="418">
      <calculatedColumnFormula>(Table1[[#This Row],[NTE Approved ]]-Table1[[#This Row],[Cost]])/Table1[[#This Row],[Cost]]</calculatedColumnFormula>
    </tableColumn>
    <tableColumn id="15" xr3:uid="{481AEE7E-9946-4534-88AA-76FFCA3A3D97}" name="Description " dataDxfId="417"/>
    <tableColumn id="16" xr3:uid="{B1B0EDAC-2FB6-4145-B447-6C9F54DD3122}" name="Status" dataDxfId="416"/>
    <tableColumn id="17" xr3:uid="{BDB21776-A5AD-4D8B-895F-F05237E4363F}" name="Quote Sent on ?" dataDxfId="415"/>
    <tableColumn id="18" xr3:uid="{58867F95-45BF-4725-B367-6803872D8D0E}" name="Admin Notes" dataDxfId="414"/>
    <tableColumn id="19" xr3:uid="{6ED87D80-4C45-493E-A1A7-415CA4C47EFF}" name="TL Notes " dataDxfId="413"/>
    <tableColumn id="21" xr3:uid="{D3764BF1-BFC3-46E9-B620-B7A7538B6639}" name="Invoice Date " dataDxfId="4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66186F-0856-47B3-9A61-34EF82643406}" name="Table1653" displayName="Table1653" ref="A1:S21" totalsRowShown="0">
  <autoFilter ref="A1:S21" xr:uid="{7B66186F-0856-47B3-9A61-34EF82643406}"/>
  <tableColumns count="19">
    <tableColumn id="1" xr3:uid="{C91593EB-A23C-4EEE-ABE3-F0EE89C2131B}" name="WorkOrder"/>
    <tableColumn id="2" xr3:uid="{FFF32699-23FE-479A-8D53-E8979704757F}" name="Dispatcher"/>
    <tableColumn id="3" xr3:uid="{BFB4A3B7-650C-4573-BA4F-8688870A954E}" name="Received Date" dataDxfId="411"/>
    <tableColumn id="4" xr3:uid="{F56B7941-DE1A-49F0-8595-DC335E32E35C}" name="ETA" dataDxfId="410"/>
    <tableColumn id="5" xr3:uid="{AD364837-2458-48BC-A45D-5E9AC94B3271}" name="Store"/>
    <tableColumn id="6" xr3:uid="{BEF9E6DB-27C4-484D-A6D0-7C68407DA8E3}" name="Trade"/>
    <tableColumn id="7" xr3:uid="{794A038A-4454-4A9F-9D9A-C28470B2E5AC}" name="Subtrade"/>
    <tableColumn id="8" xr3:uid="{6B9767FA-B8DE-47A0-9320-D67B2220EC81}" name="Address "/>
    <tableColumn id="9" xr3:uid="{C53699A2-EF73-4E03-83CC-C750103CF2DD}" name="City"/>
    <tableColumn id="10" xr3:uid="{DFB98B98-B987-48AC-832D-E053BC86B8DF}" name="State"/>
    <tableColumn id="11" xr3:uid="{80C0B117-C21B-41CF-978C-37C9357A39E0}" name="NTE " dataDxfId="409"/>
    <tableColumn id="12" xr3:uid="{163B1490-9273-4888-8C83-1B7D007BC8D8}" name="NTE Approved " dataDxfId="408"/>
    <tableColumn id="13" xr3:uid="{2167E523-E2CE-4524-B510-018F5640B2A3}" name="Cost" dataDxfId="407"/>
    <tableColumn id="14" xr3:uid="{611E129D-1C2A-4809-B78F-7B392DDC869D}" name="Profit %" dataDxfId="406"/>
    <tableColumn id="15" xr3:uid="{593E4ECA-A7E8-4FAF-B488-8325940D854F}" name="Description "/>
    <tableColumn id="16" xr3:uid="{9050DF26-9A04-4497-BEF3-19C60B9EC90E}" name="Status"/>
    <tableColumn id="17" xr3:uid="{1648294C-70E0-4A4A-934B-5AA4FBDCA1B9}" name="Quote Sent on ?" dataDxfId="405"/>
    <tableColumn id="18" xr3:uid="{4F56480C-2021-455F-AA0B-6B93411B46B4}" name="Admin Notes"/>
    <tableColumn id="19" xr3:uid="{D6EF0DBA-9C60-4AA2-9063-31C4BD3B6655}" name="TL Notes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B909AB-41A8-4BF2-9491-687EC7AAC44A}" name="Table164" displayName="Table164" ref="A1:S21" totalsRowShown="0">
  <autoFilter ref="A1:S21" xr:uid="{87B909AB-41A8-4BF2-9491-687EC7AAC44A}"/>
  <tableColumns count="19">
    <tableColumn id="1" xr3:uid="{4B620986-92AA-4A53-9178-988700243086}" name="WorkOrder"/>
    <tableColumn id="2" xr3:uid="{023331E8-34BC-4C51-AAE8-90A053940E8D}" name="Dispatcher"/>
    <tableColumn id="3" xr3:uid="{1AE2DFBC-6864-4BB8-9D34-603E35A2F5E0}" name="Received Date" dataDxfId="404"/>
    <tableColumn id="4" xr3:uid="{8EC8C392-A634-47A5-9F34-5FF2B197C134}" name="ETA" dataDxfId="403"/>
    <tableColumn id="5" xr3:uid="{0917B7B1-002D-4071-80D8-B8EC6788336B}" name="Store"/>
    <tableColumn id="6" xr3:uid="{E6CACCA6-B8A4-4C9E-8266-2C089798DF5B}" name="Trade"/>
    <tableColumn id="7" xr3:uid="{B028AEF5-736B-4C79-9F74-C0D18BB34E6A}" name="Subtrade"/>
    <tableColumn id="8" xr3:uid="{ED83274A-070D-40B9-9683-E0ED27C69E82}" name="Address "/>
    <tableColumn id="9" xr3:uid="{9D168C0D-E0A8-4FAB-BA1D-B9EDEB7ABB22}" name="City"/>
    <tableColumn id="10" xr3:uid="{6BB54691-31BC-43DD-BE03-55BA0F9CB8A7}" name="State"/>
    <tableColumn id="11" xr3:uid="{9D63CECF-8090-4EBA-A520-6590777A9DF9}" name="NTE " dataDxfId="402"/>
    <tableColumn id="12" xr3:uid="{188ACBCB-4330-4125-A445-C99ADB4A2B8B}" name="NTE Approved " dataDxfId="401"/>
    <tableColumn id="13" xr3:uid="{DA04F1CE-4B09-4A43-A2B2-CAA5BE4516FD}" name="Cost" dataDxfId="400"/>
    <tableColumn id="14" xr3:uid="{938E2F37-F72C-4BA5-B128-9E715E0F6AF0}" name="Profit %" dataDxfId="399"/>
    <tableColumn id="15" xr3:uid="{E3CBC693-4316-4669-804F-A0913C933AA9}" name="Description "/>
    <tableColumn id="16" xr3:uid="{00FE258D-7BE0-4811-8780-97AFE8007B43}" name="Status"/>
    <tableColumn id="17" xr3:uid="{397B88EF-A0C1-44D3-B2E8-556C8C5582A5}" name="Quote Sent on ?" dataDxfId="398"/>
    <tableColumn id="18" xr3:uid="{10B86757-6026-47D0-9DB7-F068FB744891}" name="Admin Notes"/>
    <tableColumn id="19" xr3:uid="{7AF6A08B-55E3-43C1-8314-9854B193C081}" name="TL Notes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42393F-DC37-4CAB-86BB-54DC1C980646}" name="Table165" displayName="Table165" ref="A1:S21" totalsRowShown="0">
  <autoFilter ref="A1:S21" xr:uid="{6742393F-DC37-4CAB-86BB-54DC1C980646}"/>
  <tableColumns count="19">
    <tableColumn id="1" xr3:uid="{AE41B123-353A-4260-8CD8-9F3E8DC7671B}" name="WorkOrder"/>
    <tableColumn id="2" xr3:uid="{0509E80F-847B-4FDB-9AC6-73186D6DBAC9}" name="Dispatcher"/>
    <tableColumn id="3" xr3:uid="{5135E9D8-AAC7-47FE-9EF8-AD9647B58580}" name="Received Date" dataDxfId="397"/>
    <tableColumn id="4" xr3:uid="{2EFF23BF-780D-443A-85BE-EC436147D125}" name="ETA" dataDxfId="396"/>
    <tableColumn id="5" xr3:uid="{93A13904-8A64-4035-B8E4-7F84CA682C21}" name="Store"/>
    <tableColumn id="6" xr3:uid="{DF118DEC-5454-4133-ADC0-4CD343CE168B}" name="Trade"/>
    <tableColumn id="7" xr3:uid="{1A0E7C41-143B-4D9C-91EB-F66CD4511CC9}" name="Subtrade"/>
    <tableColumn id="8" xr3:uid="{70C8D2A0-D131-4F10-881B-796B0037D397}" name="Address "/>
    <tableColumn id="9" xr3:uid="{AB9C0E0D-6292-4FBD-A0F0-3FA2F3E2D5B5}" name="City"/>
    <tableColumn id="10" xr3:uid="{DB2CAF4E-3643-4A12-989D-AE1F708ACA2B}" name="State"/>
    <tableColumn id="11" xr3:uid="{EEBBF7A7-9BE9-4851-A71D-B285F287D005}" name="NTE " dataDxfId="395"/>
    <tableColumn id="12" xr3:uid="{EF83AC09-5C35-4CEA-A14A-4CEB4A051B2E}" name="NTE Approved " dataDxfId="394"/>
    <tableColumn id="13" xr3:uid="{5B913F18-97C1-4CC5-9257-FFE621E349BB}" name="Cost" dataDxfId="393"/>
    <tableColumn id="14" xr3:uid="{ECB1F8DD-A0D3-425E-8A53-4472177577CD}" name="Profit %" dataDxfId="392"/>
    <tableColumn id="15" xr3:uid="{2DDD8FA3-4A92-4F41-8060-BC03653D550F}" name="Description "/>
    <tableColumn id="16" xr3:uid="{8BAE7AF2-9C4A-469A-8C09-98CF09E72A39}" name="Status"/>
    <tableColumn id="17" xr3:uid="{D03C38FA-3B76-4F61-A931-80052DD83B96}" name="Quote Sent on ?" dataDxfId="391"/>
    <tableColumn id="18" xr3:uid="{6FB4E1CD-11A4-4826-A68B-AC129E681A9D}" name="Admin Notes"/>
    <tableColumn id="19" xr3:uid="{8EFA1F02-1565-4220-95F1-758623EF4971}" name="TL Not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645"/>
  <sheetViews>
    <sheetView tabSelected="1" workbookViewId="0">
      <selection activeCell="D6" sqref="D6"/>
    </sheetView>
  </sheetViews>
  <sheetFormatPr defaultRowHeight="14.4" x14ac:dyDescent="0.3"/>
  <cols>
    <col min="1" max="1" width="20.5546875" customWidth="1"/>
    <col min="2" max="2" width="18.6640625" customWidth="1"/>
    <col min="3" max="3" width="23" customWidth="1"/>
    <col min="4" max="4" width="13.44140625" customWidth="1"/>
    <col min="5" max="5" width="12.88671875" customWidth="1"/>
    <col min="6" max="6" width="18.6640625" customWidth="1"/>
    <col min="7" max="7" width="15.5546875" customWidth="1"/>
    <col min="8" max="8" width="32.33203125" customWidth="1"/>
    <col min="9" max="9" width="20.109375" customWidth="1"/>
    <col min="10" max="10" width="17.6640625" customWidth="1"/>
    <col min="11" max="11" width="18.33203125" customWidth="1"/>
    <col min="12" max="12" width="18" customWidth="1"/>
    <col min="13" max="13" width="18.109375" customWidth="1"/>
    <col min="14" max="14" width="15.88671875" customWidth="1"/>
    <col min="15" max="15" width="30.6640625" customWidth="1"/>
    <col min="16" max="16" width="20.6640625" customWidth="1"/>
    <col min="17" max="17" width="17.88671875" customWidth="1"/>
    <col min="18" max="18" width="20.33203125" customWidth="1"/>
    <col min="19" max="19" width="18.5546875" customWidth="1"/>
    <col min="20" max="20" width="28.109375" style="8" customWidth="1"/>
    <col min="22" max="23" width="20.6640625" bestFit="1" customWidth="1"/>
  </cols>
  <sheetData>
    <row r="1" spans="1:153" x14ac:dyDescent="0.3">
      <c r="A1" t="s">
        <v>0</v>
      </c>
      <c r="B1" t="s">
        <v>1</v>
      </c>
      <c r="C1" s="1" t="s">
        <v>2</v>
      </c>
      <c r="D1" s="1" t="s">
        <v>3</v>
      </c>
      <c r="E1" t="s">
        <v>4</v>
      </c>
      <c r="F1" t="s">
        <v>5</v>
      </c>
      <c r="G1" t="s">
        <v>6</v>
      </c>
      <c r="H1" t="s">
        <v>7</v>
      </c>
      <c r="I1" t="s">
        <v>8</v>
      </c>
      <c r="J1" t="s">
        <v>9</v>
      </c>
      <c r="K1" s="2" t="s">
        <v>10</v>
      </c>
      <c r="L1" s="2" t="s">
        <v>11</v>
      </c>
      <c r="M1" s="2" t="s">
        <v>12</v>
      </c>
      <c r="N1" s="3" t="s">
        <v>13</v>
      </c>
      <c r="O1" t="s">
        <v>14</v>
      </c>
      <c r="P1" t="s">
        <v>15</v>
      </c>
      <c r="Q1" s="1" t="s">
        <v>16</v>
      </c>
      <c r="R1" t="s">
        <v>17</v>
      </c>
      <c r="S1" t="s">
        <v>18</v>
      </c>
      <c r="T1" s="8" t="s">
        <v>19</v>
      </c>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row>
    <row r="2" spans="1:153" s="7" customFormat="1" ht="27" customHeight="1" x14ac:dyDescent="0.3">
      <c r="A2" s="6">
        <v>334448734</v>
      </c>
      <c r="B2" s="7" t="s">
        <v>20</v>
      </c>
      <c r="C2" s="8">
        <v>46001</v>
      </c>
      <c r="D2" s="8">
        <v>46003</v>
      </c>
      <c r="E2" s="7" t="s">
        <v>21</v>
      </c>
      <c r="F2" s="6" t="s">
        <v>22</v>
      </c>
      <c r="G2" s="7" t="s">
        <v>23</v>
      </c>
      <c r="H2" s="9" t="s">
        <v>24</v>
      </c>
      <c r="I2" s="12" t="s">
        <v>25</v>
      </c>
      <c r="J2" s="7" t="s">
        <v>26</v>
      </c>
      <c r="K2" s="10">
        <v>650</v>
      </c>
      <c r="L2" s="10">
        <v>641.11</v>
      </c>
      <c r="M2" s="10">
        <v>357</v>
      </c>
      <c r="N2" s="11">
        <f>(Table1[[#This Row],[NTE Approved ]]-Table1[[#This Row],[Cost]])/Table1[[#This Row],[Cost]]</f>
        <v>0.79582633053221297</v>
      </c>
      <c r="O2" s="5" t="s">
        <v>27</v>
      </c>
      <c r="P2" s="7" t="s">
        <v>28</v>
      </c>
      <c r="Q2" s="8"/>
      <c r="T2" s="8"/>
    </row>
    <row r="3" spans="1:153" s="7" customFormat="1" ht="27" customHeight="1" x14ac:dyDescent="0.3">
      <c r="A3" s="6">
        <v>335168521</v>
      </c>
      <c r="B3" s="7" t="s">
        <v>29</v>
      </c>
      <c r="C3" s="8">
        <v>46008</v>
      </c>
      <c r="D3" s="8">
        <v>46008</v>
      </c>
      <c r="E3" s="7" t="s">
        <v>21</v>
      </c>
      <c r="F3" s="7" t="s">
        <v>30</v>
      </c>
      <c r="G3" s="7" t="s">
        <v>31</v>
      </c>
      <c r="H3" s="12" t="s">
        <v>32</v>
      </c>
      <c r="I3" s="7" t="s">
        <v>33</v>
      </c>
      <c r="J3" s="7" t="s">
        <v>34</v>
      </c>
      <c r="K3" s="10">
        <v>750</v>
      </c>
      <c r="L3" s="10">
        <v>646.95000000000005</v>
      </c>
      <c r="M3" s="10">
        <v>300</v>
      </c>
      <c r="N3" s="11">
        <f>(Table1[[#This Row],[NTE Approved ]]-Table1[[#This Row],[Cost]])/Table1[[#This Row],[Cost]]</f>
        <v>1.1565000000000001</v>
      </c>
      <c r="O3" s="12" t="s">
        <v>35</v>
      </c>
      <c r="P3" s="7" t="s">
        <v>28</v>
      </c>
      <c r="Q3" s="8"/>
      <c r="T3" s="8"/>
      <c r="V3" s="7" t="s">
        <v>36</v>
      </c>
      <c r="W3" s="7">
        <f>COUNTA($A:$A)-1</f>
        <v>617</v>
      </c>
      <c r="X3" s="7">
        <v>617</v>
      </c>
    </row>
    <row r="4" spans="1:153" s="7" customFormat="1" ht="27" customHeight="1" x14ac:dyDescent="0.3">
      <c r="A4" s="6">
        <v>332956915</v>
      </c>
      <c r="B4" s="7" t="s">
        <v>37</v>
      </c>
      <c r="C4" s="8">
        <v>45986</v>
      </c>
      <c r="D4" s="8">
        <v>45992</v>
      </c>
      <c r="E4" s="7" t="s">
        <v>21</v>
      </c>
      <c r="F4" s="7" t="s">
        <v>38</v>
      </c>
      <c r="G4" s="7" t="s">
        <v>39</v>
      </c>
      <c r="H4" s="12" t="s">
        <v>40</v>
      </c>
      <c r="I4" s="7" t="s">
        <v>41</v>
      </c>
      <c r="J4" s="7" t="s">
        <v>42</v>
      </c>
      <c r="K4" s="10">
        <v>750</v>
      </c>
      <c r="L4" s="10">
        <v>642</v>
      </c>
      <c r="M4" s="10">
        <v>330</v>
      </c>
      <c r="N4" s="11">
        <f>(Table1[[#This Row],[NTE Approved ]]-Table1[[#This Row],[Cost]])/Table1[[#This Row],[Cost]]</f>
        <v>0.94545454545454544</v>
      </c>
      <c r="O4" s="6" t="s">
        <v>43</v>
      </c>
      <c r="P4" s="7" t="s">
        <v>28</v>
      </c>
      <c r="Q4" s="8"/>
      <c r="T4" s="8"/>
      <c r="U4"/>
      <c r="V4" s="7" t="s">
        <v>28</v>
      </c>
      <c r="W4" s="7">
        <f>COUNTIF($P:$P,"Job Done")</f>
        <v>523</v>
      </c>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row>
    <row r="5" spans="1:153" ht="27" customHeight="1" x14ac:dyDescent="0.3">
      <c r="A5" s="6">
        <v>333903240</v>
      </c>
      <c r="B5" s="7" t="s">
        <v>44</v>
      </c>
      <c r="C5" s="8">
        <v>45994</v>
      </c>
      <c r="D5" s="8">
        <v>45995</v>
      </c>
      <c r="E5" s="7" t="s">
        <v>21</v>
      </c>
      <c r="F5" s="7" t="s">
        <v>45</v>
      </c>
      <c r="G5" s="7" t="s">
        <v>46</v>
      </c>
      <c r="H5" s="12" t="s">
        <v>47</v>
      </c>
      <c r="I5" s="9" t="s">
        <v>48</v>
      </c>
      <c r="J5" s="7" t="s">
        <v>49</v>
      </c>
      <c r="K5" s="10">
        <v>750</v>
      </c>
      <c r="L5" s="10">
        <v>150</v>
      </c>
      <c r="M5" s="10">
        <v>85</v>
      </c>
      <c r="N5" s="11">
        <f>(Table1[[#This Row],[NTE Approved ]]-Table1[[#This Row],[Cost]])/Table1[[#This Row],[Cost]]</f>
        <v>0.76470588235294112</v>
      </c>
      <c r="O5" s="4" t="s">
        <v>50</v>
      </c>
      <c r="P5" s="7" t="s">
        <v>51</v>
      </c>
      <c r="Q5" s="8"/>
      <c r="R5" s="7"/>
      <c r="S5" s="7"/>
      <c r="U5" s="7"/>
      <c r="V5" s="7" t="s">
        <v>52</v>
      </c>
      <c r="W5" s="7">
        <f>COUNTIF($P:$P,"Billed For incurred")</f>
        <v>60</v>
      </c>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row>
    <row r="6" spans="1:153" s="7" customFormat="1" ht="27" customHeight="1" x14ac:dyDescent="0.3">
      <c r="A6" s="6">
        <v>331646442</v>
      </c>
      <c r="B6" s="7" t="s">
        <v>20</v>
      </c>
      <c r="C6" s="8">
        <v>45993</v>
      </c>
      <c r="D6" s="8">
        <v>45999</v>
      </c>
      <c r="E6" s="7" t="s">
        <v>21</v>
      </c>
      <c r="F6" s="7" t="s">
        <v>22</v>
      </c>
      <c r="G6" s="7" t="s">
        <v>53</v>
      </c>
      <c r="H6" s="23" t="s">
        <v>54</v>
      </c>
      <c r="I6" s="7" t="s">
        <v>55</v>
      </c>
      <c r="J6" s="7" t="s">
        <v>56</v>
      </c>
      <c r="K6" s="10">
        <v>250</v>
      </c>
      <c r="L6" s="10">
        <v>249.65</v>
      </c>
      <c r="M6" s="10">
        <v>315</v>
      </c>
      <c r="N6" s="11">
        <f>(Table1[[#This Row],[NTE Approved ]]-Table1[[#This Row],[Cost]])/Table1[[#This Row],[Cost]]</f>
        <v>-0.20746031746031746</v>
      </c>
      <c r="O6" s="9" t="s">
        <v>57</v>
      </c>
      <c r="P6" s="7" t="s">
        <v>28</v>
      </c>
      <c r="Q6" s="8"/>
      <c r="T6" s="8"/>
      <c r="V6" s="7" t="s">
        <v>58</v>
      </c>
      <c r="W6" s="7">
        <f>COUNTIF($P:$P,"*Canceled No Incurred*")</f>
        <v>32</v>
      </c>
    </row>
    <row r="7" spans="1:153" s="7" customFormat="1" ht="27" customHeight="1" x14ac:dyDescent="0.3">
      <c r="A7" s="6">
        <v>335741836</v>
      </c>
      <c r="B7" s="7" t="s">
        <v>37</v>
      </c>
      <c r="C7" s="8">
        <v>46014</v>
      </c>
      <c r="D7" s="8">
        <v>46015</v>
      </c>
      <c r="E7" s="7" t="s">
        <v>21</v>
      </c>
      <c r="F7" s="7" t="s">
        <v>59</v>
      </c>
      <c r="G7" s="7" t="s">
        <v>60</v>
      </c>
      <c r="H7" s="12" t="s">
        <v>61</v>
      </c>
      <c r="I7" s="7" t="s">
        <v>62</v>
      </c>
      <c r="J7" s="7" t="s">
        <v>63</v>
      </c>
      <c r="K7" s="10">
        <v>500</v>
      </c>
      <c r="L7" s="10">
        <v>358.42</v>
      </c>
      <c r="M7" s="10">
        <v>150</v>
      </c>
      <c r="N7" s="11">
        <f>(Table1[[#This Row],[NTE Approved ]]-Table1[[#This Row],[Cost]])/Table1[[#This Row],[Cost]]</f>
        <v>1.3894666666666668</v>
      </c>
      <c r="O7" s="12" t="s">
        <v>64</v>
      </c>
      <c r="P7" s="7" t="s">
        <v>28</v>
      </c>
      <c r="Q7" s="8"/>
      <c r="T7" s="8"/>
    </row>
    <row r="8" spans="1:153" s="7" customFormat="1" ht="27" customHeight="1" x14ac:dyDescent="0.3">
      <c r="A8" s="6">
        <v>334962787</v>
      </c>
      <c r="B8" s="7" t="s">
        <v>20</v>
      </c>
      <c r="C8" s="8">
        <v>46015</v>
      </c>
      <c r="D8" s="8">
        <v>46017</v>
      </c>
      <c r="E8" s="7" t="s">
        <v>21</v>
      </c>
      <c r="F8" s="7" t="s">
        <v>22</v>
      </c>
      <c r="G8" s="7" t="s">
        <v>53</v>
      </c>
      <c r="H8" s="23" t="s">
        <v>65</v>
      </c>
      <c r="I8" s="9" t="s">
        <v>66</v>
      </c>
      <c r="J8" s="7" t="s">
        <v>42</v>
      </c>
      <c r="K8" s="10">
        <v>250</v>
      </c>
      <c r="L8" s="10">
        <v>249.98</v>
      </c>
      <c r="M8" s="10">
        <v>165</v>
      </c>
      <c r="N8" s="11">
        <f>(Table1[[#This Row],[NTE Approved ]]-Table1[[#This Row],[Cost]])/Table1[[#This Row],[Cost]]</f>
        <v>0.51503030303030295</v>
      </c>
      <c r="O8" s="9" t="s">
        <v>67</v>
      </c>
      <c r="P8" s="7" t="s">
        <v>28</v>
      </c>
      <c r="Q8" s="8"/>
      <c r="R8" s="7" t="s">
        <v>68</v>
      </c>
      <c r="T8" s="8"/>
    </row>
    <row r="9" spans="1:153" s="7" customFormat="1" ht="27" customHeight="1" x14ac:dyDescent="0.3">
      <c r="A9" s="6">
        <v>334095945</v>
      </c>
      <c r="B9" s="7" t="s">
        <v>20</v>
      </c>
      <c r="C9" s="8">
        <v>46010</v>
      </c>
      <c r="D9" s="8">
        <v>46017</v>
      </c>
      <c r="E9" s="9" t="s">
        <v>21</v>
      </c>
      <c r="F9" s="9" t="s">
        <v>22</v>
      </c>
      <c r="G9" s="9" t="s">
        <v>69</v>
      </c>
      <c r="H9" s="9" t="s">
        <v>70</v>
      </c>
      <c r="I9" s="9" t="s">
        <v>71</v>
      </c>
      <c r="J9" s="9" t="s">
        <v>49</v>
      </c>
      <c r="K9" s="10">
        <v>450</v>
      </c>
      <c r="L9" s="10">
        <v>441.73</v>
      </c>
      <c r="M9" s="10">
        <v>250</v>
      </c>
      <c r="N9" s="11">
        <f>(Table1[[#This Row],[NTE Approved ]]-Table1[[#This Row],[Cost]])/Table1[[#This Row],[Cost]]</f>
        <v>0.76692000000000005</v>
      </c>
      <c r="O9" s="7" t="s">
        <v>72</v>
      </c>
      <c r="P9" s="7" t="s">
        <v>28</v>
      </c>
      <c r="Q9" s="8"/>
      <c r="R9" s="7" t="s">
        <v>68</v>
      </c>
      <c r="T9" s="8"/>
    </row>
    <row r="10" spans="1:153" s="7" customFormat="1" ht="27" customHeight="1" x14ac:dyDescent="0.3">
      <c r="A10" s="6">
        <v>335080379</v>
      </c>
      <c r="B10" s="7" t="s">
        <v>73</v>
      </c>
      <c r="C10" s="8">
        <v>46009</v>
      </c>
      <c r="D10" s="8">
        <v>46010</v>
      </c>
      <c r="E10" s="7" t="s">
        <v>74</v>
      </c>
      <c r="F10" s="7" t="s">
        <v>38</v>
      </c>
      <c r="G10" s="7" t="s">
        <v>75</v>
      </c>
      <c r="H10" s="24" t="s">
        <v>76</v>
      </c>
      <c r="I10" s="7" t="s">
        <v>77</v>
      </c>
      <c r="J10" s="7" t="s">
        <v>78</v>
      </c>
      <c r="K10" s="10">
        <v>150</v>
      </c>
      <c r="L10" s="10">
        <v>350</v>
      </c>
      <c r="M10" s="10">
        <v>180</v>
      </c>
      <c r="N10" s="11">
        <f>(Table1[[#This Row],[NTE Approved ]]-Table1[[#This Row],[Cost]])/Table1[[#This Row],[Cost]]</f>
        <v>0.94444444444444442</v>
      </c>
      <c r="O10" s="9" t="s">
        <v>79</v>
      </c>
      <c r="P10" s="7" t="s">
        <v>28</v>
      </c>
      <c r="Q10" s="8"/>
      <c r="T10" s="8"/>
    </row>
    <row r="11" spans="1:153" s="7" customFormat="1" ht="27" customHeight="1" x14ac:dyDescent="0.3">
      <c r="A11" s="6">
        <v>336428955</v>
      </c>
      <c r="B11" s="7" t="s">
        <v>80</v>
      </c>
      <c r="C11" s="8">
        <v>46021</v>
      </c>
      <c r="D11" s="8">
        <v>46023</v>
      </c>
      <c r="E11" s="7" t="s">
        <v>81</v>
      </c>
      <c r="F11" s="7" t="s">
        <v>30</v>
      </c>
      <c r="G11" s="7" t="s">
        <v>82</v>
      </c>
      <c r="H11" s="12" t="s">
        <v>83</v>
      </c>
      <c r="I11" s="7" t="s">
        <v>84</v>
      </c>
      <c r="J11" s="7" t="s">
        <v>42</v>
      </c>
      <c r="K11" s="10">
        <v>467.5</v>
      </c>
      <c r="L11" s="10">
        <v>238</v>
      </c>
      <c r="M11" s="10">
        <v>125</v>
      </c>
      <c r="N11" s="11">
        <f>(Table1[[#This Row],[NTE Approved ]]-Table1[[#This Row],[Cost]])/Table1[[#This Row],[Cost]]</f>
        <v>0.90400000000000003</v>
      </c>
      <c r="O11" s="6" t="s">
        <v>85</v>
      </c>
      <c r="P11" s="7" t="s">
        <v>28</v>
      </c>
      <c r="Q11" s="8"/>
      <c r="T11" s="8"/>
    </row>
    <row r="12" spans="1:153" s="7" customFormat="1" ht="27" customHeight="1" x14ac:dyDescent="0.3">
      <c r="A12" s="6">
        <v>336075789</v>
      </c>
      <c r="B12" s="7" t="s">
        <v>29</v>
      </c>
      <c r="C12" s="8">
        <v>46017</v>
      </c>
      <c r="D12" s="8">
        <v>46020</v>
      </c>
      <c r="E12" s="22" t="s">
        <v>21</v>
      </c>
      <c r="F12" s="7" t="s">
        <v>38</v>
      </c>
      <c r="G12" s="7" t="s">
        <v>86</v>
      </c>
      <c r="H12" s="12" t="s">
        <v>87</v>
      </c>
      <c r="I12" s="7" t="s">
        <v>88</v>
      </c>
      <c r="J12" s="7" t="s">
        <v>89</v>
      </c>
      <c r="K12" s="10">
        <v>550</v>
      </c>
      <c r="L12" s="10">
        <v>546.96</v>
      </c>
      <c r="M12" s="10">
        <v>311.95</v>
      </c>
      <c r="N12" s="11">
        <f>(Table1[[#This Row],[NTE Approved ]]-Table1[[#This Row],[Cost]])/Table1[[#This Row],[Cost]]</f>
        <v>0.7533579099214619</v>
      </c>
      <c r="O12" s="6" t="s">
        <v>90</v>
      </c>
      <c r="P12" s="7" t="s">
        <v>28</v>
      </c>
      <c r="Q12" s="8"/>
      <c r="T12" s="8"/>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row>
    <row r="13" spans="1:153" ht="27" customHeight="1" x14ac:dyDescent="0.3">
      <c r="A13" s="6">
        <v>329285206</v>
      </c>
      <c r="B13" s="7" t="s">
        <v>91</v>
      </c>
      <c r="C13" s="8">
        <v>45951</v>
      </c>
      <c r="D13" s="8">
        <v>45951</v>
      </c>
      <c r="E13" s="22" t="s">
        <v>21</v>
      </c>
      <c r="F13" s="7" t="s">
        <v>22</v>
      </c>
      <c r="G13" s="7" t="s">
        <v>92</v>
      </c>
      <c r="H13" s="12" t="s">
        <v>93</v>
      </c>
      <c r="I13" s="7" t="s">
        <v>94</v>
      </c>
      <c r="J13" s="7" t="s">
        <v>95</v>
      </c>
      <c r="K13" s="10">
        <v>750</v>
      </c>
      <c r="L13" s="10">
        <v>1155.8599999999999</v>
      </c>
      <c r="M13" s="10">
        <v>1088</v>
      </c>
      <c r="N13" s="11">
        <f>(Table1[[#This Row],[NTE Approved ]]-Table1[[#This Row],[Cost]])/Table1[[#This Row],[Cost]]</f>
        <v>6.2371323529411674E-2</v>
      </c>
      <c r="O13" s="12" t="s">
        <v>96</v>
      </c>
      <c r="P13" s="7" t="s">
        <v>28</v>
      </c>
      <c r="Q13" s="8">
        <v>46011</v>
      </c>
      <c r="R13" s="7"/>
      <c r="S13" s="7"/>
    </row>
    <row r="14" spans="1:153" ht="27" customHeight="1" x14ac:dyDescent="0.3">
      <c r="A14" s="6">
        <v>335852329</v>
      </c>
      <c r="B14" s="7" t="s">
        <v>91</v>
      </c>
      <c r="C14" s="8">
        <v>46017</v>
      </c>
      <c r="D14" s="8">
        <v>46017</v>
      </c>
      <c r="E14" s="22" t="s">
        <v>21</v>
      </c>
      <c r="F14" s="7" t="s">
        <v>22</v>
      </c>
      <c r="G14" s="7" t="s">
        <v>97</v>
      </c>
      <c r="H14" s="12" t="s">
        <v>98</v>
      </c>
      <c r="I14" s="9" t="s">
        <v>99</v>
      </c>
      <c r="J14" s="7" t="s">
        <v>100</v>
      </c>
      <c r="K14" s="10">
        <v>850</v>
      </c>
      <c r="L14" s="10">
        <v>848.98</v>
      </c>
      <c r="M14" s="10">
        <v>435</v>
      </c>
      <c r="N14" s="11">
        <f>(Table1[[#This Row],[NTE Approved ]]-Table1[[#This Row],[Cost]])/Table1[[#This Row],[Cost]]</f>
        <v>0.95167816091954027</v>
      </c>
      <c r="O14" s="12" t="s">
        <v>101</v>
      </c>
      <c r="P14" s="7" t="s">
        <v>28</v>
      </c>
      <c r="Q14" s="8"/>
      <c r="R14" s="7"/>
      <c r="S14" s="7"/>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row>
    <row r="15" spans="1:153" s="9" customFormat="1" ht="27" customHeight="1" x14ac:dyDescent="0.3">
      <c r="A15" s="12">
        <v>334321130</v>
      </c>
      <c r="B15" s="9" t="s">
        <v>91</v>
      </c>
      <c r="C15" s="13">
        <v>46007</v>
      </c>
      <c r="D15" s="13">
        <v>46013</v>
      </c>
      <c r="E15" s="21" t="s">
        <v>21</v>
      </c>
      <c r="F15" s="9" t="s">
        <v>22</v>
      </c>
      <c r="G15" s="9" t="s">
        <v>97</v>
      </c>
      <c r="H15" s="12" t="s">
        <v>102</v>
      </c>
      <c r="I15" s="12" t="s">
        <v>103</v>
      </c>
      <c r="J15" s="9" t="s">
        <v>104</v>
      </c>
      <c r="K15" s="14">
        <v>750</v>
      </c>
      <c r="L15" s="14">
        <v>698.09</v>
      </c>
      <c r="M15" s="14">
        <v>340</v>
      </c>
      <c r="N15" s="11">
        <f>(Table1[[#This Row],[NTE Approved ]]-Table1[[#This Row],[Cost]])/Table1[[#This Row],[Cost]]</f>
        <v>1.0532058823529413</v>
      </c>
      <c r="O15" s="12" t="s">
        <v>105</v>
      </c>
      <c r="P15" s="9" t="s">
        <v>28</v>
      </c>
      <c r="Q15" s="13"/>
      <c r="R15" s="9" t="s">
        <v>68</v>
      </c>
      <c r="T15" s="8"/>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row>
    <row r="16" spans="1:153" ht="27" customHeight="1" x14ac:dyDescent="0.3">
      <c r="A16" s="6">
        <v>334963795</v>
      </c>
      <c r="B16" s="7" t="s">
        <v>91</v>
      </c>
      <c r="C16" s="8">
        <v>46007</v>
      </c>
      <c r="D16" s="8">
        <v>46014</v>
      </c>
      <c r="E16" s="22" t="s">
        <v>21</v>
      </c>
      <c r="F16" s="7" t="s">
        <v>22</v>
      </c>
      <c r="G16" s="7" t="s">
        <v>69</v>
      </c>
      <c r="H16" s="12" t="s">
        <v>106</v>
      </c>
      <c r="I16" s="6" t="s">
        <v>107</v>
      </c>
      <c r="J16" s="7" t="s">
        <v>49</v>
      </c>
      <c r="K16" s="10">
        <v>750</v>
      </c>
      <c r="L16" s="10">
        <v>504.73</v>
      </c>
      <c r="M16" s="10">
        <v>281.76</v>
      </c>
      <c r="N16" s="11">
        <f>(Table1[[#This Row],[NTE Approved ]]-Table1[[#This Row],[Cost]])/Table1[[#This Row],[Cost]]</f>
        <v>0.79134724588302119</v>
      </c>
      <c r="O16" s="12" t="s">
        <v>108</v>
      </c>
      <c r="P16" s="7" t="s">
        <v>28</v>
      </c>
      <c r="Q16" s="8"/>
      <c r="R16" s="7"/>
      <c r="S16" s="7"/>
    </row>
    <row r="17" spans="1:153" ht="27" customHeight="1" x14ac:dyDescent="0.3">
      <c r="A17" s="6">
        <v>332659780</v>
      </c>
      <c r="B17" s="7" t="s">
        <v>20</v>
      </c>
      <c r="C17" s="8">
        <v>45993</v>
      </c>
      <c r="D17" s="8">
        <v>45999</v>
      </c>
      <c r="E17" s="22" t="s">
        <v>21</v>
      </c>
      <c r="F17" s="7" t="s">
        <v>38</v>
      </c>
      <c r="G17" s="7" t="s">
        <v>109</v>
      </c>
      <c r="H17" s="12" t="s">
        <v>110</v>
      </c>
      <c r="I17" s="12" t="s">
        <v>111</v>
      </c>
      <c r="J17" s="7" t="s">
        <v>49</v>
      </c>
      <c r="K17" s="10">
        <v>200</v>
      </c>
      <c r="L17" s="10">
        <v>1928.33</v>
      </c>
      <c r="M17" s="10">
        <v>1098.22</v>
      </c>
      <c r="N17" s="11">
        <f>(Table1[[#This Row],[NTE Approved ]]-Table1[[#This Row],[Cost]])/Table1[[#This Row],[Cost]]</f>
        <v>0.75586858735043971</v>
      </c>
      <c r="O17" s="12" t="s">
        <v>112</v>
      </c>
      <c r="P17" s="7" t="s">
        <v>28</v>
      </c>
      <c r="Q17" s="8"/>
      <c r="R17" s="7"/>
      <c r="S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row>
    <row r="18" spans="1:153" s="7" customFormat="1" ht="27" customHeight="1" x14ac:dyDescent="0.3">
      <c r="A18" s="6">
        <v>336273668</v>
      </c>
      <c r="B18" s="7" t="s">
        <v>29</v>
      </c>
      <c r="C18" s="8">
        <v>46020</v>
      </c>
      <c r="D18" s="8">
        <v>46020</v>
      </c>
      <c r="E18" s="22" t="s">
        <v>21</v>
      </c>
      <c r="F18" s="7" t="s">
        <v>59</v>
      </c>
      <c r="G18" s="7" t="s">
        <v>60</v>
      </c>
      <c r="H18" s="12" t="s">
        <v>113</v>
      </c>
      <c r="I18" s="12" t="s">
        <v>114</v>
      </c>
      <c r="J18" s="7" t="s">
        <v>26</v>
      </c>
      <c r="K18" s="10">
        <v>1000</v>
      </c>
      <c r="L18" s="10">
        <v>982.81</v>
      </c>
      <c r="M18" s="10">
        <v>399</v>
      </c>
      <c r="N18" s="11">
        <f>(Table1[[#This Row],[NTE Approved ]]-Table1[[#This Row],[Cost]])/Table1[[#This Row],[Cost]]</f>
        <v>1.4631829573934836</v>
      </c>
      <c r="O18" s="9" t="s">
        <v>115</v>
      </c>
      <c r="P18" s="7" t="s">
        <v>28</v>
      </c>
      <c r="Q18" s="8"/>
      <c r="T18" s="8"/>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row>
    <row r="19" spans="1:153" s="9" customFormat="1" ht="27" customHeight="1" x14ac:dyDescent="0.3">
      <c r="A19" s="12">
        <v>334708078</v>
      </c>
      <c r="B19" s="9" t="s">
        <v>29</v>
      </c>
      <c r="C19" s="13">
        <v>46003</v>
      </c>
      <c r="D19" s="13">
        <v>46003</v>
      </c>
      <c r="E19" s="21" t="s">
        <v>21</v>
      </c>
      <c r="F19" s="9" t="s">
        <v>59</v>
      </c>
      <c r="G19" s="9" t="s">
        <v>116</v>
      </c>
      <c r="H19" s="12" t="s">
        <v>117</v>
      </c>
      <c r="I19" s="12" t="s">
        <v>118</v>
      </c>
      <c r="J19" s="9" t="s">
        <v>49</v>
      </c>
      <c r="K19" s="14">
        <v>300</v>
      </c>
      <c r="L19" s="14">
        <v>995.38</v>
      </c>
      <c r="M19" s="14">
        <v>560</v>
      </c>
      <c r="N19" s="11">
        <f>(Table1[[#This Row],[NTE Approved ]]-Table1[[#This Row],[Cost]])/Table1[[#This Row],[Cost]]</f>
        <v>0.77746428571428572</v>
      </c>
      <c r="O19" s="12" t="s">
        <v>119</v>
      </c>
      <c r="P19" s="9" t="s">
        <v>28</v>
      </c>
      <c r="Q19" s="13"/>
      <c r="T19" s="8"/>
    </row>
    <row r="20" spans="1:153" s="9" customFormat="1" ht="27" customHeight="1" x14ac:dyDescent="0.3">
      <c r="A20" s="12">
        <v>336061137</v>
      </c>
      <c r="B20" s="9" t="s">
        <v>91</v>
      </c>
      <c r="C20" s="13">
        <v>46017</v>
      </c>
      <c r="D20" s="13">
        <v>46019</v>
      </c>
      <c r="E20" s="21" t="s">
        <v>21</v>
      </c>
      <c r="F20" s="9" t="s">
        <v>59</v>
      </c>
      <c r="G20" s="9" t="s">
        <v>120</v>
      </c>
      <c r="H20" s="12" t="s">
        <v>121</v>
      </c>
      <c r="I20" s="12" t="s">
        <v>122</v>
      </c>
      <c r="J20" s="9" t="s">
        <v>123</v>
      </c>
      <c r="K20" s="14">
        <v>550</v>
      </c>
      <c r="L20" s="14">
        <v>722.41</v>
      </c>
      <c r="M20" s="14">
        <v>402</v>
      </c>
      <c r="N20" s="11">
        <f>(Table1[[#This Row],[NTE Approved ]]-Table1[[#This Row],[Cost]])/Table1[[#This Row],[Cost]]</f>
        <v>0.79703980099502481</v>
      </c>
      <c r="O20" s="12" t="s">
        <v>124</v>
      </c>
      <c r="P20" s="9" t="s">
        <v>28</v>
      </c>
      <c r="Q20" s="13"/>
      <c r="T20" s="8"/>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row>
    <row r="21" spans="1:153" ht="27" customHeight="1" x14ac:dyDescent="0.3">
      <c r="A21" s="6">
        <v>333998724</v>
      </c>
      <c r="B21" s="7" t="s">
        <v>125</v>
      </c>
      <c r="C21" s="8">
        <v>46008</v>
      </c>
      <c r="D21" s="8">
        <v>46010</v>
      </c>
      <c r="E21" s="7" t="s">
        <v>21</v>
      </c>
      <c r="F21" s="7" t="s">
        <v>38</v>
      </c>
      <c r="G21" s="7" t="s">
        <v>126</v>
      </c>
      <c r="H21" s="12" t="s">
        <v>127</v>
      </c>
      <c r="I21" s="9" t="s">
        <v>128</v>
      </c>
      <c r="J21" s="7" t="s">
        <v>63</v>
      </c>
      <c r="K21" s="10">
        <v>550</v>
      </c>
      <c r="L21" s="10">
        <v>1453.63</v>
      </c>
      <c r="M21" s="10">
        <v>800</v>
      </c>
      <c r="N21" s="11">
        <f>(Table1[[#This Row],[NTE Approved ]]-Table1[[#This Row],[Cost]])/Table1[[#This Row],[Cost]]</f>
        <v>0.81703750000000008</v>
      </c>
      <c r="O21" s="12" t="s">
        <v>129</v>
      </c>
      <c r="P21" s="7" t="s">
        <v>28</v>
      </c>
      <c r="Q21" s="8"/>
      <c r="R21" s="7"/>
      <c r="S21" s="7"/>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row>
    <row r="22" spans="1:153" s="9" customFormat="1" ht="27" customHeight="1" x14ac:dyDescent="0.3">
      <c r="A22" s="12">
        <v>335533770</v>
      </c>
      <c r="B22" s="9" t="s">
        <v>20</v>
      </c>
      <c r="C22" s="13">
        <v>46013</v>
      </c>
      <c r="D22" s="13">
        <v>46013</v>
      </c>
      <c r="E22" s="9" t="s">
        <v>21</v>
      </c>
      <c r="G22" s="9" t="s">
        <v>60</v>
      </c>
      <c r="H22" s="12" t="s">
        <v>130</v>
      </c>
      <c r="I22" s="12" t="s">
        <v>131</v>
      </c>
      <c r="J22" s="9" t="s">
        <v>132</v>
      </c>
      <c r="K22" s="14">
        <v>750</v>
      </c>
      <c r="L22" s="14">
        <v>2251.0500000000002</v>
      </c>
      <c r="M22" s="14">
        <v>1000</v>
      </c>
      <c r="N22" s="11">
        <f>(Table1[[#This Row],[NTE Approved ]]-Table1[[#This Row],[Cost]])/Table1[[#This Row],[Cost]]</f>
        <v>1.2510500000000002</v>
      </c>
      <c r="O22" s="12" t="s">
        <v>133</v>
      </c>
      <c r="P22" s="9" t="s">
        <v>28</v>
      </c>
      <c r="Q22" s="13"/>
      <c r="T22" s="8"/>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row>
    <row r="23" spans="1:153" ht="27" customHeight="1" x14ac:dyDescent="0.3">
      <c r="A23" s="12">
        <v>336915330</v>
      </c>
      <c r="B23" s="9" t="s">
        <v>125</v>
      </c>
      <c r="C23" s="13">
        <v>46024</v>
      </c>
      <c r="D23" s="13">
        <v>46027</v>
      </c>
      <c r="E23" s="9" t="s">
        <v>21</v>
      </c>
      <c r="F23" s="9" t="s">
        <v>59</v>
      </c>
      <c r="G23" s="9" t="s">
        <v>134</v>
      </c>
      <c r="H23" s="12" t="s">
        <v>135</v>
      </c>
      <c r="I23" s="9" t="s">
        <v>136</v>
      </c>
      <c r="J23" s="9" t="s">
        <v>63</v>
      </c>
      <c r="K23" s="14">
        <v>350</v>
      </c>
      <c r="L23" s="14">
        <v>664.87</v>
      </c>
      <c r="M23" s="14">
        <v>150</v>
      </c>
      <c r="N23" s="11">
        <f>(Table1[[#This Row],[NTE Approved ]]-Table1[[#This Row],[Cost]])/Table1[[#This Row],[Cost]]</f>
        <v>3.4324666666666666</v>
      </c>
      <c r="O23" s="12" t="s">
        <v>137</v>
      </c>
      <c r="P23" s="9" t="s">
        <v>28</v>
      </c>
      <c r="Q23" s="13"/>
      <c r="R23" s="9"/>
      <c r="S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row>
    <row r="24" spans="1:153" s="9" customFormat="1" ht="27" customHeight="1" x14ac:dyDescent="0.3">
      <c r="A24" s="12">
        <v>334996067</v>
      </c>
      <c r="B24" s="9" t="s">
        <v>125</v>
      </c>
      <c r="C24" s="13">
        <v>46006</v>
      </c>
      <c r="D24" s="13">
        <v>46006</v>
      </c>
      <c r="E24" s="9" t="s">
        <v>21</v>
      </c>
      <c r="F24" s="9" t="s">
        <v>59</v>
      </c>
      <c r="G24" s="9" t="s">
        <v>138</v>
      </c>
      <c r="H24" s="12" t="s">
        <v>139</v>
      </c>
      <c r="I24" s="9" t="s">
        <v>140</v>
      </c>
      <c r="J24" s="9" t="s">
        <v>63</v>
      </c>
      <c r="K24" s="14">
        <v>550</v>
      </c>
      <c r="L24" s="14">
        <v>997.03</v>
      </c>
      <c r="M24" s="14">
        <v>585</v>
      </c>
      <c r="N24" s="11">
        <f>(Table1[[#This Row],[NTE Approved ]]-Table1[[#This Row],[Cost]])/Table1[[#This Row],[Cost]]</f>
        <v>0.70432478632478623</v>
      </c>
      <c r="O24" s="9" t="s">
        <v>141</v>
      </c>
      <c r="P24" s="9" t="s">
        <v>51</v>
      </c>
      <c r="Q24" s="13"/>
      <c r="R24" s="9" t="s">
        <v>68</v>
      </c>
      <c r="T24" s="8"/>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row>
    <row r="25" spans="1:153" s="7" customFormat="1" ht="27" customHeight="1" x14ac:dyDescent="0.3">
      <c r="A25" s="6">
        <v>337093274</v>
      </c>
      <c r="B25" s="7" t="s">
        <v>20</v>
      </c>
      <c r="C25" s="8">
        <v>46027</v>
      </c>
      <c r="D25" s="8">
        <v>46027</v>
      </c>
      <c r="E25" s="7" t="s">
        <v>21</v>
      </c>
      <c r="F25" s="7" t="s">
        <v>59</v>
      </c>
      <c r="G25" s="7" t="s">
        <v>60</v>
      </c>
      <c r="H25" s="9" t="s">
        <v>142</v>
      </c>
      <c r="I25" s="7" t="s">
        <v>143</v>
      </c>
      <c r="J25" s="7" t="s">
        <v>144</v>
      </c>
      <c r="K25" s="10">
        <v>300</v>
      </c>
      <c r="L25" s="10">
        <v>1228.69</v>
      </c>
      <c r="M25" s="10">
        <v>700</v>
      </c>
      <c r="N25" s="11">
        <f>(Table1[[#This Row],[NTE Approved ]]-Table1[[#This Row],[Cost]])/Table1[[#This Row],[Cost]]</f>
        <v>0.7552714285714287</v>
      </c>
      <c r="O25" s="9" t="s">
        <v>145</v>
      </c>
      <c r="P25" s="7" t="s">
        <v>28</v>
      </c>
      <c r="Q25" s="8"/>
      <c r="T25" s="8"/>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row>
    <row r="26" spans="1:153" ht="27" customHeight="1" x14ac:dyDescent="0.3">
      <c r="A26" s="7">
        <v>337113361</v>
      </c>
      <c r="B26" s="7" t="s">
        <v>20</v>
      </c>
      <c r="C26" s="8">
        <v>46027</v>
      </c>
      <c r="D26" s="8">
        <v>46029</v>
      </c>
      <c r="E26" s="7" t="s">
        <v>21</v>
      </c>
      <c r="F26" s="7" t="s">
        <v>38</v>
      </c>
      <c r="G26" s="7" t="s">
        <v>146</v>
      </c>
      <c r="H26" s="9" t="s">
        <v>147</v>
      </c>
      <c r="I26" s="7" t="s">
        <v>148</v>
      </c>
      <c r="J26" s="7" t="s">
        <v>100</v>
      </c>
      <c r="K26" s="10">
        <v>750</v>
      </c>
      <c r="L26" s="10">
        <v>833.09</v>
      </c>
      <c r="M26" s="10">
        <v>475</v>
      </c>
      <c r="N26" s="11">
        <f>(Table1[[#This Row],[NTE Approved ]]-Table1[[#This Row],[Cost]])/Table1[[#This Row],[Cost]]</f>
        <v>0.75387368421052636</v>
      </c>
      <c r="O26" s="9" t="s">
        <v>149</v>
      </c>
      <c r="P26" s="7" t="s">
        <v>28</v>
      </c>
      <c r="Q26" s="8"/>
      <c r="R26" s="7"/>
      <c r="S26" s="7"/>
    </row>
    <row r="27" spans="1:153" ht="27" customHeight="1" x14ac:dyDescent="0.3">
      <c r="A27" s="7">
        <v>337139109</v>
      </c>
      <c r="B27" s="7" t="s">
        <v>125</v>
      </c>
      <c r="C27" s="8">
        <v>46029</v>
      </c>
      <c r="D27" s="8">
        <v>46029</v>
      </c>
      <c r="E27" s="7" t="s">
        <v>21</v>
      </c>
      <c r="F27" s="7" t="s">
        <v>59</v>
      </c>
      <c r="G27" s="7" t="s">
        <v>150</v>
      </c>
      <c r="H27" s="9" t="s">
        <v>151</v>
      </c>
      <c r="I27" s="7" t="s">
        <v>152</v>
      </c>
      <c r="J27" s="7" t="s">
        <v>104</v>
      </c>
      <c r="K27" s="10">
        <v>750</v>
      </c>
      <c r="L27" s="10">
        <v>1369.9</v>
      </c>
      <c r="M27" s="10">
        <v>500</v>
      </c>
      <c r="N27" s="11">
        <f>(Table1[[#This Row],[NTE Approved ]]-Table1[[#This Row],[Cost]])/Table1[[#This Row],[Cost]]</f>
        <v>1.7398000000000002</v>
      </c>
      <c r="O27" s="9" t="s">
        <v>153</v>
      </c>
      <c r="P27" s="7" t="s">
        <v>28</v>
      </c>
      <c r="Q27" s="8"/>
      <c r="R27" s="7"/>
      <c r="S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row>
    <row r="28" spans="1:153" s="7" customFormat="1" ht="27" customHeight="1" x14ac:dyDescent="0.3">
      <c r="A28" s="7" t="s">
        <v>154</v>
      </c>
      <c r="B28" s="7" t="s">
        <v>155</v>
      </c>
      <c r="C28" s="8">
        <v>45918</v>
      </c>
      <c r="D28" s="8">
        <v>46100</v>
      </c>
      <c r="E28" s="7" t="s">
        <v>156</v>
      </c>
      <c r="F28" s="7" t="s">
        <v>38</v>
      </c>
      <c r="G28" s="7" t="s">
        <v>157</v>
      </c>
      <c r="H28" s="9" t="s">
        <v>158</v>
      </c>
      <c r="I28" s="7" t="s">
        <v>159</v>
      </c>
      <c r="J28" s="7" t="s">
        <v>160</v>
      </c>
      <c r="K28" s="10"/>
      <c r="L28" s="10">
        <v>13630.58</v>
      </c>
      <c r="M28" s="10">
        <v>7525.38</v>
      </c>
      <c r="N28" s="11">
        <f>(Table1[[#This Row],[NTE Approved ]]-Table1[[#This Row],[Cost]])/Table1[[#This Row],[Cost]]</f>
        <v>0.81128129077867162</v>
      </c>
      <c r="O28" s="9" t="s">
        <v>161</v>
      </c>
      <c r="P28" s="9" t="s">
        <v>162</v>
      </c>
      <c r="Q28" s="8"/>
      <c r="T28" s="8"/>
    </row>
    <row r="29" spans="1:153" s="7" customFormat="1" ht="27" customHeight="1" x14ac:dyDescent="0.3">
      <c r="A29" s="15">
        <v>337466274</v>
      </c>
      <c r="B29" s="7" t="s">
        <v>163</v>
      </c>
      <c r="C29" s="8">
        <v>46031</v>
      </c>
      <c r="D29" s="8">
        <v>46031</v>
      </c>
      <c r="E29" s="7" t="s">
        <v>81</v>
      </c>
      <c r="F29" s="7" t="s">
        <v>59</v>
      </c>
      <c r="G29" s="7" t="s">
        <v>164</v>
      </c>
      <c r="H29" s="9" t="s">
        <v>165</v>
      </c>
      <c r="I29" s="7" t="s">
        <v>166</v>
      </c>
      <c r="J29" s="7" t="s">
        <v>42</v>
      </c>
      <c r="K29" s="10">
        <v>552</v>
      </c>
      <c r="L29" s="10">
        <v>678</v>
      </c>
      <c r="M29" s="10">
        <v>380</v>
      </c>
      <c r="N29" s="11">
        <f>(Table1[[#This Row],[NTE Approved ]]-Table1[[#This Row],[Cost]])/Table1[[#This Row],[Cost]]</f>
        <v>0.78421052631578947</v>
      </c>
      <c r="O29" s="9" t="s">
        <v>167</v>
      </c>
      <c r="P29" s="9" t="s">
        <v>28</v>
      </c>
      <c r="Q29" s="8"/>
      <c r="T29" s="8"/>
    </row>
    <row r="30" spans="1:153" s="7" customFormat="1" ht="27" customHeight="1" x14ac:dyDescent="0.3">
      <c r="A30" s="15">
        <v>337466245</v>
      </c>
      <c r="B30" s="7" t="s">
        <v>163</v>
      </c>
      <c r="C30" s="8">
        <v>46031</v>
      </c>
      <c r="D30" s="8">
        <v>46034</v>
      </c>
      <c r="E30" s="7" t="s">
        <v>81</v>
      </c>
      <c r="F30" s="7" t="s">
        <v>59</v>
      </c>
      <c r="G30" s="9" t="s">
        <v>168</v>
      </c>
      <c r="H30" s="16" t="s">
        <v>169</v>
      </c>
      <c r="I30" s="7" t="s">
        <v>170</v>
      </c>
      <c r="J30" s="7" t="s">
        <v>42</v>
      </c>
      <c r="K30" s="10">
        <v>552.5</v>
      </c>
      <c r="L30" s="10">
        <v>610.5</v>
      </c>
      <c r="M30" s="10">
        <v>20</v>
      </c>
      <c r="N30" s="11">
        <f>(Table1[[#This Row],[NTE Approved ]]-Table1[[#This Row],[Cost]])/Table1[[#This Row],[Cost]]</f>
        <v>29.524999999999999</v>
      </c>
      <c r="O30" s="9" t="s">
        <v>171</v>
      </c>
      <c r="P30" s="7" t="s">
        <v>28</v>
      </c>
      <c r="Q30" s="8"/>
      <c r="T30" s="8"/>
    </row>
    <row r="31" spans="1:153" s="7" customFormat="1" ht="27" customHeight="1" x14ac:dyDescent="0.3">
      <c r="A31" s="7">
        <v>336057277</v>
      </c>
      <c r="B31" s="7" t="s">
        <v>20</v>
      </c>
      <c r="C31" s="8">
        <v>46017</v>
      </c>
      <c r="D31" s="8">
        <v>46017</v>
      </c>
      <c r="E31" s="7" t="s">
        <v>21</v>
      </c>
      <c r="F31" s="7" t="s">
        <v>45</v>
      </c>
      <c r="G31" s="7" t="s">
        <v>46</v>
      </c>
      <c r="H31" s="9" t="s">
        <v>172</v>
      </c>
      <c r="I31" s="7" t="s">
        <v>173</v>
      </c>
      <c r="J31" s="7" t="s">
        <v>132</v>
      </c>
      <c r="K31" s="10">
        <v>750</v>
      </c>
      <c r="L31" s="10">
        <v>505.48</v>
      </c>
      <c r="M31" s="10">
        <v>200</v>
      </c>
      <c r="N31" s="11">
        <f>(Table1[[#This Row],[NTE Approved ]]-Table1[[#This Row],[Cost]])/Table1[[#This Row],[Cost]]</f>
        <v>1.5274000000000001</v>
      </c>
      <c r="O31" s="9" t="s">
        <v>174</v>
      </c>
      <c r="P31" s="7" t="s">
        <v>28</v>
      </c>
      <c r="Q31" s="8"/>
      <c r="T31" s="8"/>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row>
    <row r="32" spans="1:153" ht="27" customHeight="1" x14ac:dyDescent="0.3">
      <c r="A32" s="7">
        <v>334399840</v>
      </c>
      <c r="B32" s="7" t="s">
        <v>20</v>
      </c>
      <c r="C32" s="8">
        <v>46010</v>
      </c>
      <c r="D32" s="8">
        <v>46017</v>
      </c>
      <c r="E32" s="7" t="s">
        <v>21</v>
      </c>
      <c r="F32" s="7" t="s">
        <v>22</v>
      </c>
      <c r="G32" s="7" t="s">
        <v>69</v>
      </c>
      <c r="H32" s="9" t="s">
        <v>175</v>
      </c>
      <c r="I32" s="7" t="s">
        <v>176</v>
      </c>
      <c r="J32" s="7" t="s">
        <v>49</v>
      </c>
      <c r="K32" s="10">
        <v>450</v>
      </c>
      <c r="L32" s="10">
        <v>403.3</v>
      </c>
      <c r="M32" s="10">
        <v>225</v>
      </c>
      <c r="N32" s="11">
        <f>(Table1[[#This Row],[NTE Approved ]]-Table1[[#This Row],[Cost]])/Table1[[#This Row],[Cost]]</f>
        <v>0.79244444444444451</v>
      </c>
      <c r="O32" s="9" t="s">
        <v>177</v>
      </c>
      <c r="P32" s="7" t="s">
        <v>28</v>
      </c>
      <c r="Q32" s="8"/>
      <c r="R32" s="7"/>
      <c r="S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row>
    <row r="33" spans="1:153" s="7" customFormat="1" ht="27" customHeight="1" x14ac:dyDescent="0.3">
      <c r="A33" s="7">
        <v>336403367</v>
      </c>
      <c r="B33" s="7" t="s">
        <v>20</v>
      </c>
      <c r="C33" s="8">
        <v>46021</v>
      </c>
      <c r="D33" s="8">
        <v>46021</v>
      </c>
      <c r="E33" s="7" t="s">
        <v>21</v>
      </c>
      <c r="F33" s="7" t="s">
        <v>59</v>
      </c>
      <c r="G33" s="7" t="s">
        <v>150</v>
      </c>
      <c r="H33" s="9" t="s">
        <v>178</v>
      </c>
      <c r="I33" s="7" t="s">
        <v>179</v>
      </c>
      <c r="J33" s="7" t="s">
        <v>56</v>
      </c>
      <c r="K33" s="10">
        <v>550</v>
      </c>
      <c r="L33" s="10">
        <v>543.02</v>
      </c>
      <c r="M33" s="10">
        <v>230</v>
      </c>
      <c r="N33" s="11">
        <f>(Table1[[#This Row],[NTE Approved ]]-Table1[[#This Row],[Cost]])/Table1[[#This Row],[Cost]]</f>
        <v>1.3609565217391304</v>
      </c>
      <c r="O33" s="9" t="s">
        <v>180</v>
      </c>
      <c r="P33" s="7" t="s">
        <v>28</v>
      </c>
      <c r="Q33" s="8"/>
      <c r="T33" s="8"/>
    </row>
    <row r="34" spans="1:153" s="7" customFormat="1" ht="27" customHeight="1" x14ac:dyDescent="0.3">
      <c r="A34" s="7">
        <v>335938490</v>
      </c>
      <c r="B34" s="7" t="s">
        <v>44</v>
      </c>
      <c r="C34" s="8">
        <v>46015</v>
      </c>
      <c r="D34" s="8">
        <v>46015</v>
      </c>
      <c r="E34" s="7" t="s">
        <v>21</v>
      </c>
      <c r="F34" s="7" t="s">
        <v>22</v>
      </c>
      <c r="G34" s="7" t="s">
        <v>181</v>
      </c>
      <c r="H34" s="9" t="s">
        <v>182</v>
      </c>
      <c r="I34" s="7" t="s">
        <v>183</v>
      </c>
      <c r="J34" s="7" t="s">
        <v>95</v>
      </c>
      <c r="K34" s="10">
        <v>750</v>
      </c>
      <c r="L34" s="10">
        <v>580.80999999999995</v>
      </c>
      <c r="M34" s="10">
        <v>240</v>
      </c>
      <c r="N34" s="11">
        <f>(Table1[[#This Row],[NTE Approved ]]-Table1[[#This Row],[Cost]])/Table1[[#This Row],[Cost]]</f>
        <v>1.4200416666666664</v>
      </c>
      <c r="O34" s="9" t="s">
        <v>184</v>
      </c>
      <c r="P34" s="7" t="s">
        <v>28</v>
      </c>
      <c r="Q34" s="8"/>
      <c r="T34" s="8"/>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row>
    <row r="35" spans="1:153" ht="27" customHeight="1" x14ac:dyDescent="0.3">
      <c r="A35" s="7">
        <v>336325814</v>
      </c>
      <c r="B35" s="7" t="s">
        <v>91</v>
      </c>
      <c r="C35" s="8">
        <v>46020</v>
      </c>
      <c r="D35" s="8">
        <v>46021</v>
      </c>
      <c r="E35" s="7" t="s">
        <v>21</v>
      </c>
      <c r="F35" s="7" t="s">
        <v>185</v>
      </c>
      <c r="G35" s="7" t="s">
        <v>186</v>
      </c>
      <c r="H35" s="9" t="s">
        <v>187</v>
      </c>
      <c r="I35" s="7" t="s">
        <v>188</v>
      </c>
      <c r="J35" s="7" t="s">
        <v>42</v>
      </c>
      <c r="K35" s="10">
        <v>1000</v>
      </c>
      <c r="L35" s="10">
        <v>352.78</v>
      </c>
      <c r="M35" s="10">
        <v>200</v>
      </c>
      <c r="N35" s="11">
        <f>(Table1[[#This Row],[NTE Approved ]]-Table1[[#This Row],[Cost]])/Table1[[#This Row],[Cost]]</f>
        <v>0.76389999999999991</v>
      </c>
      <c r="O35" s="9" t="s">
        <v>189</v>
      </c>
      <c r="P35" s="7" t="s">
        <v>28</v>
      </c>
      <c r="Q35" s="8"/>
      <c r="R35" s="7"/>
      <c r="S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row>
    <row r="36" spans="1:153" s="7" customFormat="1" ht="27" customHeight="1" x14ac:dyDescent="0.3">
      <c r="A36" s="7">
        <v>336405731</v>
      </c>
      <c r="B36" s="7" t="s">
        <v>91</v>
      </c>
      <c r="C36" s="8">
        <v>46021</v>
      </c>
      <c r="D36" s="8">
        <v>46021</v>
      </c>
      <c r="E36" s="7" t="s">
        <v>21</v>
      </c>
      <c r="F36" s="7" t="s">
        <v>59</v>
      </c>
      <c r="G36" s="7" t="s">
        <v>150</v>
      </c>
      <c r="H36" s="9" t="s">
        <v>190</v>
      </c>
      <c r="I36" s="7" t="s">
        <v>191</v>
      </c>
      <c r="J36" s="7" t="s">
        <v>42</v>
      </c>
      <c r="K36" s="10">
        <v>800</v>
      </c>
      <c r="L36" s="10">
        <v>515.45000000000005</v>
      </c>
      <c r="M36" s="10">
        <v>150</v>
      </c>
      <c r="N36" s="11">
        <f>(Table1[[#This Row],[NTE Approved ]]-Table1[[#This Row],[Cost]])/Table1[[#This Row],[Cost]]</f>
        <v>2.4363333333333337</v>
      </c>
      <c r="O36" s="9" t="s">
        <v>192</v>
      </c>
      <c r="P36" s="7" t="s">
        <v>28</v>
      </c>
      <c r="Q36" s="8"/>
      <c r="T36" s="8"/>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row>
    <row r="37" spans="1:153" ht="27" customHeight="1" x14ac:dyDescent="0.3">
      <c r="A37" s="9">
        <v>336396239</v>
      </c>
      <c r="B37" s="9" t="s">
        <v>91</v>
      </c>
      <c r="C37" s="13">
        <v>46021</v>
      </c>
      <c r="D37" s="13">
        <v>46021</v>
      </c>
      <c r="E37" s="9" t="s">
        <v>21</v>
      </c>
      <c r="F37" s="9" t="s">
        <v>30</v>
      </c>
      <c r="G37" s="9">
        <v>0</v>
      </c>
      <c r="H37" s="9" t="s">
        <v>193</v>
      </c>
      <c r="I37" s="9" t="s">
        <v>194</v>
      </c>
      <c r="J37" s="9" t="s">
        <v>195</v>
      </c>
      <c r="K37" s="14">
        <v>800</v>
      </c>
      <c r="L37" s="14">
        <v>517.15</v>
      </c>
      <c r="M37" s="14">
        <v>220</v>
      </c>
      <c r="N37" s="11">
        <f>(Table1[[#This Row],[NTE Approved ]]-Table1[[#This Row],[Cost]])/Table1[[#This Row],[Cost]]</f>
        <v>1.3506818181818181</v>
      </c>
      <c r="O37" s="9" t="s">
        <v>196</v>
      </c>
      <c r="P37" s="9" t="s">
        <v>28</v>
      </c>
      <c r="Q37" s="13"/>
      <c r="R37" s="9"/>
      <c r="S37" s="9"/>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row>
    <row r="38" spans="1:153" s="7" customFormat="1" ht="27" customHeight="1" x14ac:dyDescent="0.3">
      <c r="A38" s="7">
        <v>336402257</v>
      </c>
      <c r="B38" s="7" t="s">
        <v>91</v>
      </c>
      <c r="C38" s="8">
        <v>46024</v>
      </c>
      <c r="D38" s="8">
        <v>46024</v>
      </c>
      <c r="E38" s="7" t="s">
        <v>21</v>
      </c>
      <c r="F38" s="7" t="s">
        <v>22</v>
      </c>
      <c r="G38" s="7" t="s">
        <v>92</v>
      </c>
      <c r="H38" s="9" t="s">
        <v>197</v>
      </c>
      <c r="I38" s="9" t="s">
        <v>198</v>
      </c>
      <c r="J38" s="7" t="s">
        <v>199</v>
      </c>
      <c r="K38" s="10">
        <v>750</v>
      </c>
      <c r="L38" s="10">
        <v>430.37</v>
      </c>
      <c r="M38" s="10">
        <v>80</v>
      </c>
      <c r="N38" s="11">
        <f>(Table1[[#This Row],[NTE Approved ]]-Table1[[#This Row],[Cost]])/Table1[[#This Row],[Cost]]</f>
        <v>4.3796249999999999</v>
      </c>
      <c r="O38" s="9" t="s">
        <v>200</v>
      </c>
      <c r="P38" s="7" t="s">
        <v>28</v>
      </c>
      <c r="Q38" s="8"/>
      <c r="T38" s="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row>
    <row r="39" spans="1:153" ht="27" customHeight="1" x14ac:dyDescent="0.3">
      <c r="A39" s="7">
        <v>336384627</v>
      </c>
      <c r="B39" s="7" t="s">
        <v>20</v>
      </c>
      <c r="C39" s="8">
        <v>46021</v>
      </c>
      <c r="D39" s="8">
        <v>46021</v>
      </c>
      <c r="E39" s="7" t="s">
        <v>21</v>
      </c>
      <c r="F39" s="7" t="s">
        <v>45</v>
      </c>
      <c r="G39" s="7" t="s">
        <v>46</v>
      </c>
      <c r="H39" s="9" t="s">
        <v>201</v>
      </c>
      <c r="I39" s="7" t="s">
        <v>202</v>
      </c>
      <c r="J39" s="7" t="s">
        <v>195</v>
      </c>
      <c r="K39" s="10">
        <v>850</v>
      </c>
      <c r="L39" s="10">
        <v>747.85</v>
      </c>
      <c r="M39" s="10">
        <v>350</v>
      </c>
      <c r="N39" s="11">
        <f>(Table1[[#This Row],[NTE Approved ]]-Table1[[#This Row],[Cost]])/Table1[[#This Row],[Cost]]</f>
        <v>1.1367142857142858</v>
      </c>
      <c r="O39" s="9" t="s">
        <v>203</v>
      </c>
      <c r="P39" s="7" t="s">
        <v>28</v>
      </c>
      <c r="Q39" s="8"/>
      <c r="R39" s="7"/>
      <c r="S39" s="7"/>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row>
    <row r="40" spans="1:153" s="9" customFormat="1" ht="27" customHeight="1" x14ac:dyDescent="0.3">
      <c r="A40" s="9">
        <v>336524193</v>
      </c>
      <c r="B40" s="9" t="s">
        <v>91</v>
      </c>
      <c r="C40" s="13">
        <v>46024</v>
      </c>
      <c r="D40" s="13">
        <v>46024</v>
      </c>
      <c r="E40" s="9" t="s">
        <v>21</v>
      </c>
      <c r="F40" s="9" t="s">
        <v>59</v>
      </c>
      <c r="G40" s="9" t="s">
        <v>138</v>
      </c>
      <c r="H40" s="9" t="s">
        <v>204</v>
      </c>
      <c r="I40" s="9" t="s">
        <v>205</v>
      </c>
      <c r="J40" s="9" t="s">
        <v>206</v>
      </c>
      <c r="K40" s="14">
        <v>500</v>
      </c>
      <c r="L40" s="14">
        <v>1397.58</v>
      </c>
      <c r="M40" s="14">
        <v>750</v>
      </c>
      <c r="N40" s="11">
        <f>(Table1[[#This Row],[NTE Approved ]]-Table1[[#This Row],[Cost]])/Table1[[#This Row],[Cost]]</f>
        <v>0.86343999999999987</v>
      </c>
      <c r="O40" s="9" t="s">
        <v>207</v>
      </c>
      <c r="P40" s="9" t="s">
        <v>28</v>
      </c>
      <c r="Q40" s="13"/>
      <c r="T40" s="8"/>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row>
    <row r="41" spans="1:153" s="7" customFormat="1" ht="27" customHeight="1" x14ac:dyDescent="0.3">
      <c r="A41" s="7">
        <v>336549246</v>
      </c>
      <c r="B41" s="7" t="s">
        <v>91</v>
      </c>
      <c r="C41" s="8">
        <v>46024</v>
      </c>
      <c r="D41" s="8">
        <v>46024</v>
      </c>
      <c r="E41" s="7" t="s">
        <v>21</v>
      </c>
      <c r="F41" s="7" t="s">
        <v>59</v>
      </c>
      <c r="G41" s="7" t="s">
        <v>150</v>
      </c>
      <c r="H41" s="9" t="s">
        <v>208</v>
      </c>
      <c r="I41" s="7" t="s">
        <v>209</v>
      </c>
      <c r="J41" s="7" t="s">
        <v>206</v>
      </c>
      <c r="K41" s="10">
        <v>750</v>
      </c>
      <c r="L41" s="10">
        <v>749</v>
      </c>
      <c r="M41" s="10">
        <v>450</v>
      </c>
      <c r="N41" s="11">
        <f>(Table1[[#This Row],[NTE Approved ]]-Table1[[#This Row],[Cost]])/Table1[[#This Row],[Cost]]</f>
        <v>0.66444444444444439</v>
      </c>
      <c r="O41" s="9" t="s">
        <v>210</v>
      </c>
      <c r="P41" s="7" t="s">
        <v>28</v>
      </c>
      <c r="Q41" s="8"/>
      <c r="T41" s="8"/>
    </row>
    <row r="42" spans="1:153" s="7" customFormat="1" ht="27" customHeight="1" x14ac:dyDescent="0.3">
      <c r="A42" s="7">
        <v>336309541</v>
      </c>
      <c r="B42" s="7" t="s">
        <v>91</v>
      </c>
      <c r="C42" s="8">
        <v>46020</v>
      </c>
      <c r="D42" s="8">
        <v>46022</v>
      </c>
      <c r="E42" s="7" t="s">
        <v>21</v>
      </c>
      <c r="F42" s="7" t="s">
        <v>22</v>
      </c>
      <c r="G42" s="7" t="s">
        <v>181</v>
      </c>
      <c r="H42" s="9" t="s">
        <v>211</v>
      </c>
      <c r="I42" s="7" t="s">
        <v>212</v>
      </c>
      <c r="J42" s="7" t="s">
        <v>195</v>
      </c>
      <c r="K42" s="10">
        <v>750</v>
      </c>
      <c r="L42" s="10">
        <v>403</v>
      </c>
      <c r="M42" s="10">
        <v>100</v>
      </c>
      <c r="N42" s="11">
        <f>(Table1[[#This Row],[NTE Approved ]]-Table1[[#This Row],[Cost]])/Table1[[#This Row],[Cost]]</f>
        <v>3.03</v>
      </c>
      <c r="O42" s="7" t="s">
        <v>213</v>
      </c>
      <c r="P42" s="7" t="s">
        <v>28</v>
      </c>
      <c r="Q42" s="8"/>
      <c r="T42" s="8"/>
    </row>
    <row r="43" spans="1:153" s="7" customFormat="1" ht="27" customHeight="1" x14ac:dyDescent="0.3">
      <c r="A43" s="7">
        <v>333897177</v>
      </c>
      <c r="B43" s="7" t="s">
        <v>29</v>
      </c>
      <c r="C43" s="8">
        <v>46015</v>
      </c>
      <c r="D43" s="8">
        <v>46023</v>
      </c>
      <c r="E43" s="7" t="s">
        <v>21</v>
      </c>
      <c r="F43" s="7" t="s">
        <v>22</v>
      </c>
      <c r="G43" s="7" t="s">
        <v>181</v>
      </c>
      <c r="H43" s="9" t="s">
        <v>214</v>
      </c>
      <c r="I43" s="7" t="s">
        <v>215</v>
      </c>
      <c r="J43" s="7" t="s">
        <v>216</v>
      </c>
      <c r="K43" s="10">
        <v>450</v>
      </c>
      <c r="L43" s="10">
        <v>448.44</v>
      </c>
      <c r="M43" s="10">
        <v>250</v>
      </c>
      <c r="N43" s="11">
        <f>(Table1[[#This Row],[NTE Approved ]]-Table1[[#This Row],[Cost]])/Table1[[#This Row],[Cost]]</f>
        <v>0.79376000000000002</v>
      </c>
      <c r="O43" s="9" t="s">
        <v>217</v>
      </c>
      <c r="P43" s="7" t="s">
        <v>28</v>
      </c>
      <c r="Q43" s="8"/>
      <c r="T43" s="8"/>
    </row>
    <row r="44" spans="1:153" s="7" customFormat="1" ht="27" customHeight="1" x14ac:dyDescent="0.3">
      <c r="A44" s="7">
        <v>336892391</v>
      </c>
      <c r="B44" s="7" t="s">
        <v>20</v>
      </c>
      <c r="C44" s="8">
        <v>46024</v>
      </c>
      <c r="D44" s="8">
        <v>46024</v>
      </c>
      <c r="E44" s="7" t="s">
        <v>21</v>
      </c>
      <c r="F44" s="7" t="s">
        <v>59</v>
      </c>
      <c r="G44" s="7" t="s">
        <v>60</v>
      </c>
      <c r="H44" s="9" t="s">
        <v>121</v>
      </c>
      <c r="I44" s="7" t="s">
        <v>218</v>
      </c>
      <c r="J44" s="7" t="s">
        <v>123</v>
      </c>
      <c r="K44" s="10">
        <v>1000</v>
      </c>
      <c r="L44" s="10">
        <v>869.88</v>
      </c>
      <c r="M44" s="10">
        <v>490</v>
      </c>
      <c r="N44" s="11">
        <f>(Table1[[#This Row],[NTE Approved ]]-Table1[[#This Row],[Cost]])/Table1[[#This Row],[Cost]]</f>
        <v>0.77526530612244893</v>
      </c>
      <c r="O44" s="9" t="s">
        <v>219</v>
      </c>
      <c r="P44" s="7" t="s">
        <v>28</v>
      </c>
      <c r="Q44" s="8"/>
      <c r="T44" s="8"/>
    </row>
    <row r="45" spans="1:153" s="7" customFormat="1" ht="27" customHeight="1" x14ac:dyDescent="0.3">
      <c r="A45" s="7">
        <v>336787500</v>
      </c>
      <c r="B45" s="7" t="s">
        <v>20</v>
      </c>
      <c r="C45" s="8">
        <v>46024</v>
      </c>
      <c r="D45" s="8">
        <v>46024</v>
      </c>
      <c r="E45" s="7" t="s">
        <v>21</v>
      </c>
      <c r="F45" s="7" t="s">
        <v>59</v>
      </c>
      <c r="G45" s="7" t="s">
        <v>220</v>
      </c>
      <c r="H45" s="9" t="s">
        <v>221</v>
      </c>
      <c r="I45" s="7" t="s">
        <v>222</v>
      </c>
      <c r="J45" s="7" t="s">
        <v>104</v>
      </c>
      <c r="K45" s="10">
        <v>350</v>
      </c>
      <c r="L45" s="10">
        <v>1553.38</v>
      </c>
      <c r="M45" s="10">
        <v>760</v>
      </c>
      <c r="N45" s="11">
        <f>(Table1[[#This Row],[NTE Approved ]]-Table1[[#This Row],[Cost]])/Table1[[#This Row],[Cost]]</f>
        <v>1.0439210526315792</v>
      </c>
      <c r="O45" s="7" t="s">
        <v>223</v>
      </c>
      <c r="P45" s="7" t="s">
        <v>28</v>
      </c>
      <c r="Q45" s="8"/>
      <c r="T45" s="8"/>
    </row>
    <row r="46" spans="1:153" s="7" customFormat="1" ht="27" customHeight="1" x14ac:dyDescent="0.3">
      <c r="A46" s="7">
        <v>336415185</v>
      </c>
      <c r="B46" s="7" t="s">
        <v>20</v>
      </c>
      <c r="C46" s="8">
        <v>46024</v>
      </c>
      <c r="D46" s="8">
        <v>46027</v>
      </c>
      <c r="E46" s="7" t="s">
        <v>21</v>
      </c>
      <c r="F46" s="7" t="s">
        <v>22</v>
      </c>
      <c r="G46" s="7" t="s">
        <v>224</v>
      </c>
      <c r="H46" s="9" t="s">
        <v>225</v>
      </c>
      <c r="I46" s="7" t="s">
        <v>226</v>
      </c>
      <c r="J46" s="7" t="s">
        <v>227</v>
      </c>
      <c r="K46" s="10">
        <v>1500</v>
      </c>
      <c r="L46" s="10">
        <v>170</v>
      </c>
      <c r="M46" s="10">
        <v>150</v>
      </c>
      <c r="N46" s="11">
        <f>(Table1[[#This Row],[NTE Approved ]]-Table1[[#This Row],[Cost]])/Table1[[#This Row],[Cost]]</f>
        <v>0.13333333333333333</v>
      </c>
      <c r="O46" s="9" t="s">
        <v>228</v>
      </c>
      <c r="P46" s="7" t="s">
        <v>51</v>
      </c>
      <c r="Q46" s="8"/>
      <c r="T46" s="8"/>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row>
    <row r="47" spans="1:153" ht="27" customHeight="1" x14ac:dyDescent="0.3">
      <c r="A47" s="7">
        <v>337083984</v>
      </c>
      <c r="B47" s="7" t="s">
        <v>163</v>
      </c>
      <c r="C47" s="8">
        <v>46027</v>
      </c>
      <c r="D47" s="8">
        <v>46028</v>
      </c>
      <c r="E47" s="7" t="s">
        <v>21</v>
      </c>
      <c r="F47" s="7" t="s">
        <v>38</v>
      </c>
      <c r="G47" s="7" t="s">
        <v>229</v>
      </c>
      <c r="H47" s="9" t="s">
        <v>230</v>
      </c>
      <c r="I47" s="7" t="s">
        <v>231</v>
      </c>
      <c r="J47" s="7" t="s">
        <v>206</v>
      </c>
      <c r="K47" s="10">
        <v>750</v>
      </c>
      <c r="L47" s="10">
        <v>747.93</v>
      </c>
      <c r="M47" s="10">
        <v>425</v>
      </c>
      <c r="N47" s="11">
        <f>(Table1[[#This Row],[NTE Approved ]]-Table1[[#This Row],[Cost]])/Table1[[#This Row],[Cost]]</f>
        <v>0.75983529411764694</v>
      </c>
      <c r="O47" s="9" t="s">
        <v>232</v>
      </c>
      <c r="P47" s="7" t="s">
        <v>28</v>
      </c>
      <c r="Q47" s="8"/>
      <c r="R47" s="7"/>
      <c r="S47" s="7"/>
    </row>
    <row r="48" spans="1:153" ht="27" customHeight="1" x14ac:dyDescent="0.3">
      <c r="A48" s="7">
        <v>336416552</v>
      </c>
      <c r="B48" s="7" t="s">
        <v>91</v>
      </c>
      <c r="C48" s="8">
        <v>46024</v>
      </c>
      <c r="D48" s="8">
        <v>46028</v>
      </c>
      <c r="E48" s="7" t="s">
        <v>21</v>
      </c>
      <c r="F48" s="7" t="s">
        <v>22</v>
      </c>
      <c r="G48" s="7" t="s">
        <v>224</v>
      </c>
      <c r="H48" s="9" t="s">
        <v>233</v>
      </c>
      <c r="I48" s="7" t="s">
        <v>234</v>
      </c>
      <c r="J48" s="7" t="s">
        <v>235</v>
      </c>
      <c r="K48" s="10">
        <v>1500</v>
      </c>
      <c r="L48" s="10">
        <v>1056.03</v>
      </c>
      <c r="M48" s="10">
        <v>450</v>
      </c>
      <c r="N48" s="11">
        <f>(Table1[[#This Row],[NTE Approved ]]-Table1[[#This Row],[Cost]])/Table1[[#This Row],[Cost]]</f>
        <v>1.3467333333333333</v>
      </c>
      <c r="O48" s="9" t="s">
        <v>236</v>
      </c>
      <c r="P48" s="7" t="s">
        <v>28</v>
      </c>
      <c r="Q48" s="8"/>
      <c r="R48" s="7"/>
      <c r="S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row>
    <row r="49" spans="1:153" s="7" customFormat="1" ht="27" customHeight="1" x14ac:dyDescent="0.3">
      <c r="A49" s="7">
        <v>337217487</v>
      </c>
      <c r="B49" s="7" t="s">
        <v>20</v>
      </c>
      <c r="C49" s="8">
        <v>46028</v>
      </c>
      <c r="D49" s="8">
        <v>46028</v>
      </c>
      <c r="E49" s="7" t="s">
        <v>21</v>
      </c>
      <c r="F49" s="7" t="s">
        <v>59</v>
      </c>
      <c r="G49" s="7" t="s">
        <v>237</v>
      </c>
      <c r="H49" s="9" t="s">
        <v>238</v>
      </c>
      <c r="I49" s="7" t="s">
        <v>239</v>
      </c>
      <c r="J49" s="7" t="s">
        <v>206</v>
      </c>
      <c r="K49" s="10">
        <v>200</v>
      </c>
      <c r="L49" s="10">
        <v>894.7</v>
      </c>
      <c r="M49" s="10">
        <v>400</v>
      </c>
      <c r="N49" s="11">
        <f>(Table1[[#This Row],[NTE Approved ]]-Table1[[#This Row],[Cost]])/Table1[[#This Row],[Cost]]</f>
        <v>1.23675</v>
      </c>
      <c r="O49" s="9" t="s">
        <v>240</v>
      </c>
      <c r="P49" s="7" t="s">
        <v>28</v>
      </c>
      <c r="Q49" s="8"/>
      <c r="T49" s="8"/>
    </row>
    <row r="50" spans="1:153" s="7" customFormat="1" ht="27" customHeight="1" x14ac:dyDescent="0.3">
      <c r="A50" s="7">
        <v>336761701</v>
      </c>
      <c r="B50" s="7" t="s">
        <v>20</v>
      </c>
      <c r="C50" s="8">
        <v>46024</v>
      </c>
      <c r="D50" s="8">
        <v>46026</v>
      </c>
      <c r="E50" s="7" t="s">
        <v>21</v>
      </c>
      <c r="F50" s="7" t="s">
        <v>59</v>
      </c>
      <c r="G50" s="7" t="s">
        <v>120</v>
      </c>
      <c r="H50" s="9" t="s">
        <v>241</v>
      </c>
      <c r="I50" s="7" t="s">
        <v>242</v>
      </c>
      <c r="J50" s="7" t="s">
        <v>195</v>
      </c>
      <c r="K50" s="10">
        <v>600</v>
      </c>
      <c r="L50" s="10">
        <v>446.6</v>
      </c>
      <c r="M50" s="10">
        <v>185</v>
      </c>
      <c r="N50" s="11">
        <f>(Table1[[#This Row],[NTE Approved ]]-Table1[[#This Row],[Cost]])/Table1[[#This Row],[Cost]]</f>
        <v>1.4140540540540543</v>
      </c>
      <c r="O50" s="9" t="s">
        <v>243</v>
      </c>
      <c r="P50" s="7" t="s">
        <v>28</v>
      </c>
      <c r="Q50" s="8"/>
      <c r="T50" s="8"/>
    </row>
    <row r="51" spans="1:153" s="7" customFormat="1" ht="27" customHeight="1" x14ac:dyDescent="0.3">
      <c r="A51" s="7">
        <v>336767564</v>
      </c>
      <c r="B51" s="7" t="s">
        <v>73</v>
      </c>
      <c r="C51" s="8">
        <v>46024</v>
      </c>
      <c r="D51" s="8">
        <v>46025</v>
      </c>
      <c r="E51" s="7" t="s">
        <v>21</v>
      </c>
      <c r="F51" s="7" t="s">
        <v>45</v>
      </c>
      <c r="G51" s="7" t="s">
        <v>46</v>
      </c>
      <c r="H51" s="9" t="s">
        <v>244</v>
      </c>
      <c r="I51" s="7" t="s">
        <v>245</v>
      </c>
      <c r="J51" s="7" t="s">
        <v>42</v>
      </c>
      <c r="K51" s="10">
        <v>700</v>
      </c>
      <c r="L51" s="10">
        <v>484.88</v>
      </c>
      <c r="M51" s="10">
        <v>120</v>
      </c>
      <c r="N51" s="11">
        <f>(Table1[[#This Row],[NTE Approved ]]-Table1[[#This Row],[Cost]])/Table1[[#This Row],[Cost]]</f>
        <v>3.0406666666666666</v>
      </c>
      <c r="O51" s="9" t="s">
        <v>246</v>
      </c>
      <c r="P51" s="7" t="s">
        <v>28</v>
      </c>
      <c r="Q51" s="8"/>
      <c r="T51" s="8"/>
    </row>
    <row r="52" spans="1:153" s="7" customFormat="1" ht="27" customHeight="1" x14ac:dyDescent="0.3">
      <c r="A52" s="7">
        <v>333987517</v>
      </c>
      <c r="B52" s="7" t="s">
        <v>20</v>
      </c>
      <c r="C52" s="8">
        <v>46008</v>
      </c>
      <c r="D52" s="8">
        <v>46008</v>
      </c>
      <c r="E52" s="7" t="s">
        <v>21</v>
      </c>
      <c r="F52" s="7" t="s">
        <v>22</v>
      </c>
      <c r="G52" s="7" t="s">
        <v>92</v>
      </c>
      <c r="H52" s="9" t="s">
        <v>247</v>
      </c>
      <c r="I52" s="7" t="s">
        <v>248</v>
      </c>
      <c r="J52" s="7" t="s">
        <v>132</v>
      </c>
      <c r="K52" s="10">
        <v>750</v>
      </c>
      <c r="L52" s="10">
        <v>500.82</v>
      </c>
      <c r="M52" s="10">
        <v>250</v>
      </c>
      <c r="N52" s="11">
        <f>(Table1[[#This Row],[NTE Approved ]]-Table1[[#This Row],[Cost]])/Table1[[#This Row],[Cost]]</f>
        <v>1.0032799999999999</v>
      </c>
      <c r="O52" s="9" t="s">
        <v>249</v>
      </c>
      <c r="P52" s="7" t="s">
        <v>28</v>
      </c>
      <c r="Q52" s="8"/>
      <c r="T52" s="8"/>
    </row>
    <row r="53" spans="1:153" s="7" customFormat="1" ht="27" customHeight="1" x14ac:dyDescent="0.3">
      <c r="A53" s="7">
        <v>337256587</v>
      </c>
      <c r="B53" s="7" t="s">
        <v>20</v>
      </c>
      <c r="C53" s="8">
        <v>46028</v>
      </c>
      <c r="D53" s="8">
        <v>46028</v>
      </c>
      <c r="E53" s="7" t="s">
        <v>21</v>
      </c>
      <c r="F53" s="7" t="s">
        <v>59</v>
      </c>
      <c r="G53" s="7" t="s">
        <v>60</v>
      </c>
      <c r="H53" s="9" t="s">
        <v>250</v>
      </c>
      <c r="I53" s="7" t="s">
        <v>251</v>
      </c>
      <c r="J53" s="7" t="s">
        <v>100</v>
      </c>
      <c r="K53" s="10">
        <v>750</v>
      </c>
      <c r="L53" s="10">
        <v>481.5</v>
      </c>
      <c r="M53" s="10">
        <v>165</v>
      </c>
      <c r="N53" s="11">
        <f>(Table1[[#This Row],[NTE Approved ]]-Table1[[#This Row],[Cost]])/Table1[[#This Row],[Cost]]</f>
        <v>1.9181818181818182</v>
      </c>
      <c r="O53" s="9" t="s">
        <v>252</v>
      </c>
      <c r="P53" s="7" t="s">
        <v>28</v>
      </c>
      <c r="Q53" s="8"/>
      <c r="T53" s="8"/>
    </row>
    <row r="54" spans="1:153" s="7" customFormat="1" ht="27" customHeight="1" x14ac:dyDescent="0.3">
      <c r="A54" s="7">
        <v>336414258</v>
      </c>
      <c r="B54" s="7" t="s">
        <v>20</v>
      </c>
      <c r="C54" s="8">
        <v>46024</v>
      </c>
      <c r="D54" s="8">
        <v>46027</v>
      </c>
      <c r="E54" s="7" t="s">
        <v>21</v>
      </c>
      <c r="F54" s="7" t="s">
        <v>22</v>
      </c>
      <c r="G54" s="7" t="s">
        <v>224</v>
      </c>
      <c r="H54" s="9" t="s">
        <v>253</v>
      </c>
      <c r="I54" s="7" t="s">
        <v>254</v>
      </c>
      <c r="J54" s="7" t="s">
        <v>227</v>
      </c>
      <c r="K54" s="10">
        <v>1500</v>
      </c>
      <c r="L54" s="10">
        <v>529.84</v>
      </c>
      <c r="M54" s="10">
        <v>300</v>
      </c>
      <c r="N54" s="11">
        <f>(Table1[[#This Row],[NTE Approved ]]-Table1[[#This Row],[Cost]])/Table1[[#This Row],[Cost]]</f>
        <v>0.76613333333333344</v>
      </c>
      <c r="O54" s="9" t="s">
        <v>255</v>
      </c>
      <c r="P54" s="7" t="s">
        <v>28</v>
      </c>
      <c r="Q54" s="8"/>
      <c r="T54" s="8"/>
    </row>
    <row r="55" spans="1:153" s="7" customFormat="1" ht="27" customHeight="1" x14ac:dyDescent="0.3">
      <c r="A55" s="7">
        <v>334961072</v>
      </c>
      <c r="B55" s="7" t="s">
        <v>125</v>
      </c>
      <c r="C55" s="8">
        <v>46015</v>
      </c>
      <c r="D55" s="8">
        <v>46024</v>
      </c>
      <c r="E55" s="7" t="s">
        <v>21</v>
      </c>
      <c r="F55" s="7" t="s">
        <v>22</v>
      </c>
      <c r="G55" s="7" t="s">
        <v>181</v>
      </c>
      <c r="H55" s="9" t="s">
        <v>256</v>
      </c>
      <c r="I55" s="7" t="s">
        <v>231</v>
      </c>
      <c r="J55" s="7" t="s">
        <v>216</v>
      </c>
      <c r="K55" s="10">
        <v>700</v>
      </c>
      <c r="L55" s="10">
        <v>698.75</v>
      </c>
      <c r="M55" s="10">
        <v>370</v>
      </c>
      <c r="N55" s="11">
        <f>(Table1[[#This Row],[NTE Approved ]]-Table1[[#This Row],[Cost]])/Table1[[#This Row],[Cost]]</f>
        <v>0.88851351351351349</v>
      </c>
      <c r="O55" s="9" t="s">
        <v>257</v>
      </c>
      <c r="P55" s="7" t="s">
        <v>28</v>
      </c>
      <c r="Q55" s="8"/>
      <c r="T55" s="8"/>
    </row>
    <row r="56" spans="1:153" s="7" customFormat="1" ht="27" customHeight="1" x14ac:dyDescent="0.3">
      <c r="A56" s="7">
        <v>336533591</v>
      </c>
      <c r="B56" s="7" t="s">
        <v>163</v>
      </c>
      <c r="C56" s="8">
        <v>46027</v>
      </c>
      <c r="D56" s="8">
        <v>46038</v>
      </c>
      <c r="E56" s="7" t="s">
        <v>21</v>
      </c>
      <c r="F56" s="7" t="s">
        <v>22</v>
      </c>
      <c r="G56" s="7" t="s">
        <v>258</v>
      </c>
      <c r="H56" s="9" t="s">
        <v>259</v>
      </c>
      <c r="I56" s="7" t="s">
        <v>260</v>
      </c>
      <c r="J56" s="7" t="s">
        <v>235</v>
      </c>
      <c r="K56" s="10">
        <v>750</v>
      </c>
      <c r="L56" s="10">
        <v>725.76</v>
      </c>
      <c r="M56" s="10">
        <v>400</v>
      </c>
      <c r="N56" s="11">
        <f>(Table1[[#This Row],[NTE Approved ]]-Table1[[#This Row],[Cost]])/Table1[[#This Row],[Cost]]</f>
        <v>0.81440000000000001</v>
      </c>
      <c r="O56" s="9" t="s">
        <v>261</v>
      </c>
      <c r="P56" s="7" t="s">
        <v>28</v>
      </c>
      <c r="Q56" s="8"/>
      <c r="T56" s="8"/>
    </row>
    <row r="57" spans="1:153" s="7" customFormat="1" ht="27" customHeight="1" x14ac:dyDescent="0.3">
      <c r="A57" s="7">
        <v>337194908</v>
      </c>
      <c r="B57" s="7" t="s">
        <v>125</v>
      </c>
      <c r="C57" s="8">
        <v>46028</v>
      </c>
      <c r="D57" s="8">
        <v>46029</v>
      </c>
      <c r="E57" s="7" t="s">
        <v>21</v>
      </c>
      <c r="F57" s="7" t="s">
        <v>22</v>
      </c>
      <c r="G57" s="7" t="s">
        <v>262</v>
      </c>
      <c r="H57" s="9" t="s">
        <v>263</v>
      </c>
      <c r="I57" s="7" t="s">
        <v>264</v>
      </c>
      <c r="J57" s="7" t="s">
        <v>195</v>
      </c>
      <c r="K57" s="10">
        <v>750</v>
      </c>
      <c r="L57" s="10">
        <v>692.03</v>
      </c>
      <c r="M57" s="10">
        <v>350</v>
      </c>
      <c r="N57" s="11">
        <f>(Table1[[#This Row],[NTE Approved ]]-Table1[[#This Row],[Cost]])/Table1[[#This Row],[Cost]]</f>
        <v>0.97722857142857134</v>
      </c>
      <c r="O57" s="9" t="s">
        <v>265</v>
      </c>
      <c r="P57" s="7" t="s">
        <v>28</v>
      </c>
      <c r="Q57" s="8"/>
      <c r="T57" s="8"/>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row>
    <row r="58" spans="1:153" ht="27" customHeight="1" x14ac:dyDescent="0.3">
      <c r="A58" s="7">
        <v>337333355</v>
      </c>
      <c r="B58" s="7" t="s">
        <v>20</v>
      </c>
      <c r="C58" s="8">
        <v>46029</v>
      </c>
      <c r="D58" s="8">
        <v>46029</v>
      </c>
      <c r="E58" s="7" t="s">
        <v>21</v>
      </c>
      <c r="F58" s="7" t="s">
        <v>59</v>
      </c>
      <c r="G58" s="7" t="s">
        <v>60</v>
      </c>
      <c r="H58" s="9" t="s">
        <v>266</v>
      </c>
      <c r="I58" s="7" t="s">
        <v>267</v>
      </c>
      <c r="J58" s="7" t="s">
        <v>34</v>
      </c>
      <c r="K58" s="10">
        <v>700</v>
      </c>
      <c r="L58" s="10">
        <v>596.61</v>
      </c>
      <c r="M58" s="10">
        <v>220</v>
      </c>
      <c r="N58" s="11">
        <f>(Table1[[#This Row],[NTE Approved ]]-Table1[[#This Row],[Cost]])/Table1[[#This Row],[Cost]]</f>
        <v>1.7118636363636364</v>
      </c>
      <c r="O58" s="9" t="s">
        <v>268</v>
      </c>
      <c r="P58" s="7" t="s">
        <v>28</v>
      </c>
      <c r="Q58" s="8"/>
      <c r="R58" s="7"/>
      <c r="S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row>
    <row r="59" spans="1:153" s="7" customFormat="1" ht="27" customHeight="1" x14ac:dyDescent="0.3">
      <c r="A59" s="7">
        <v>337352099</v>
      </c>
      <c r="B59" s="7" t="s">
        <v>125</v>
      </c>
      <c r="C59" s="8">
        <v>46028</v>
      </c>
      <c r="D59" s="8">
        <v>46031</v>
      </c>
      <c r="E59" s="7" t="s">
        <v>21</v>
      </c>
      <c r="F59" s="7" t="s">
        <v>59</v>
      </c>
      <c r="G59" s="7" t="s">
        <v>269</v>
      </c>
      <c r="H59" s="9" t="s">
        <v>151</v>
      </c>
      <c r="I59" s="7" t="s">
        <v>152</v>
      </c>
      <c r="J59" s="7" t="s">
        <v>104</v>
      </c>
      <c r="K59" s="10">
        <v>1000</v>
      </c>
      <c r="L59" s="10">
        <v>921.73</v>
      </c>
      <c r="M59" s="10">
        <v>70</v>
      </c>
      <c r="N59" s="11">
        <f>(Table1[[#This Row],[NTE Approved ]]-Table1[[#This Row],[Cost]])/Table1[[#This Row],[Cost]]</f>
        <v>12.16757142857143</v>
      </c>
      <c r="O59" s="9" t="s">
        <v>270</v>
      </c>
      <c r="P59" s="7" t="s">
        <v>28</v>
      </c>
      <c r="Q59" s="8"/>
      <c r="T59" s="8"/>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row>
    <row r="60" spans="1:153" ht="27" customHeight="1" x14ac:dyDescent="0.3">
      <c r="A60" s="7">
        <v>336533893</v>
      </c>
      <c r="B60" s="7" t="s">
        <v>29</v>
      </c>
      <c r="C60" s="8">
        <v>46024</v>
      </c>
      <c r="D60" s="8">
        <v>46029</v>
      </c>
      <c r="E60" s="7" t="s">
        <v>21</v>
      </c>
      <c r="F60" s="7" t="s">
        <v>22</v>
      </c>
      <c r="G60" s="7" t="s">
        <v>258</v>
      </c>
      <c r="H60" s="9" t="s">
        <v>271</v>
      </c>
      <c r="I60" s="7" t="s">
        <v>272</v>
      </c>
      <c r="J60" s="7" t="s">
        <v>132</v>
      </c>
      <c r="K60" s="10">
        <v>750</v>
      </c>
      <c r="L60" s="10">
        <v>291.5</v>
      </c>
      <c r="M60" s="10">
        <v>130</v>
      </c>
      <c r="N60" s="11">
        <f>(Table1[[#This Row],[NTE Approved ]]-Table1[[#This Row],[Cost]])/Table1[[#This Row],[Cost]]</f>
        <v>1.2423076923076923</v>
      </c>
      <c r="O60" s="9" t="s">
        <v>273</v>
      </c>
      <c r="P60" s="7" t="s">
        <v>28</v>
      </c>
      <c r="Q60" s="8"/>
      <c r="R60" s="7"/>
      <c r="S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row>
    <row r="61" spans="1:153" s="7" customFormat="1" ht="27" customHeight="1" x14ac:dyDescent="0.3">
      <c r="A61" s="7">
        <v>337416731</v>
      </c>
      <c r="B61" s="7" t="s">
        <v>20</v>
      </c>
      <c r="C61" s="8">
        <v>46030</v>
      </c>
      <c r="D61" s="8">
        <v>46030</v>
      </c>
      <c r="E61" s="7" t="s">
        <v>21</v>
      </c>
      <c r="F61" s="7" t="s">
        <v>30</v>
      </c>
      <c r="G61" s="7" t="s">
        <v>31</v>
      </c>
      <c r="H61" s="9" t="s">
        <v>274</v>
      </c>
      <c r="I61" s="7" t="s">
        <v>275</v>
      </c>
      <c r="J61" s="7" t="s">
        <v>132</v>
      </c>
      <c r="K61" s="10">
        <v>750</v>
      </c>
      <c r="L61" s="10">
        <v>749.39</v>
      </c>
      <c r="M61" s="10">
        <v>250</v>
      </c>
      <c r="N61" s="11">
        <f>(Table1[[#This Row],[NTE Approved ]]-Table1[[#This Row],[Cost]])/Table1[[#This Row],[Cost]]</f>
        <v>1.99756</v>
      </c>
      <c r="O61" s="9" t="s">
        <v>276</v>
      </c>
      <c r="P61" s="7" t="s">
        <v>28</v>
      </c>
      <c r="Q61" s="8"/>
      <c r="T61" s="8"/>
    </row>
    <row r="62" spans="1:153" s="7" customFormat="1" ht="27" customHeight="1" x14ac:dyDescent="0.3">
      <c r="A62" s="15">
        <v>337265870</v>
      </c>
      <c r="B62" s="7" t="s">
        <v>163</v>
      </c>
      <c r="C62" s="8">
        <v>46030</v>
      </c>
      <c r="D62" s="8">
        <v>46030</v>
      </c>
      <c r="E62" s="7" t="s">
        <v>21</v>
      </c>
      <c r="F62" s="7" t="s">
        <v>59</v>
      </c>
      <c r="G62" s="7" t="s">
        <v>150</v>
      </c>
      <c r="H62" s="9" t="s">
        <v>277</v>
      </c>
      <c r="I62" s="7" t="s">
        <v>278</v>
      </c>
      <c r="J62" s="7" t="s">
        <v>132</v>
      </c>
      <c r="K62" s="10">
        <v>750</v>
      </c>
      <c r="L62" s="10">
        <v>663.02</v>
      </c>
      <c r="M62" s="10">
        <v>350</v>
      </c>
      <c r="N62" s="11">
        <f>(Table1[[#This Row],[NTE Approved ]]-Table1[[#This Row],[Cost]])/Table1[[#This Row],[Cost]]</f>
        <v>0.89434285714285711</v>
      </c>
      <c r="O62" s="9" t="s">
        <v>279</v>
      </c>
      <c r="P62" s="7" t="s">
        <v>28</v>
      </c>
      <c r="Q62" s="8"/>
      <c r="T62" s="8"/>
    </row>
    <row r="63" spans="1:153" s="7" customFormat="1" ht="27" customHeight="1" x14ac:dyDescent="0.3">
      <c r="A63" s="7">
        <v>337322067</v>
      </c>
      <c r="B63" s="7" t="s">
        <v>125</v>
      </c>
      <c r="C63" s="8">
        <v>46029</v>
      </c>
      <c r="D63" s="8">
        <v>46030</v>
      </c>
      <c r="E63" s="7" t="s">
        <v>21</v>
      </c>
      <c r="F63" s="7" t="s">
        <v>59</v>
      </c>
      <c r="G63" s="7" t="s">
        <v>150</v>
      </c>
      <c r="H63" s="9" t="s">
        <v>280</v>
      </c>
      <c r="I63" s="7" t="s">
        <v>281</v>
      </c>
      <c r="J63" s="7" t="s">
        <v>63</v>
      </c>
      <c r="K63" s="10">
        <v>750</v>
      </c>
      <c r="L63" s="10">
        <v>708.44</v>
      </c>
      <c r="M63" s="10">
        <v>125</v>
      </c>
      <c r="N63" s="11">
        <f>(Table1[[#This Row],[NTE Approved ]]-Table1[[#This Row],[Cost]])/Table1[[#This Row],[Cost]]</f>
        <v>4.6675200000000006</v>
      </c>
      <c r="O63" s="9" t="s">
        <v>282</v>
      </c>
      <c r="P63" s="7" t="s">
        <v>28</v>
      </c>
      <c r="Q63" s="8"/>
      <c r="R63" s="7" t="s">
        <v>283</v>
      </c>
      <c r="T63" s="8"/>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row>
    <row r="64" spans="1:153" ht="27" customHeight="1" x14ac:dyDescent="0.3">
      <c r="A64">
        <v>335524225</v>
      </c>
      <c r="B64" t="s">
        <v>125</v>
      </c>
      <c r="C64" s="1">
        <v>46010</v>
      </c>
      <c r="D64" s="1">
        <v>46010</v>
      </c>
      <c r="E64" t="s">
        <v>21</v>
      </c>
      <c r="F64" t="s">
        <v>30</v>
      </c>
      <c r="G64" s="17" t="s">
        <v>284</v>
      </c>
      <c r="H64" s="17" t="s">
        <v>285</v>
      </c>
      <c r="I64" t="s">
        <v>286</v>
      </c>
      <c r="J64" t="s">
        <v>56</v>
      </c>
      <c r="K64" s="2">
        <v>750</v>
      </c>
      <c r="L64" s="2">
        <v>1335.31</v>
      </c>
      <c r="M64" s="2">
        <v>430.27</v>
      </c>
      <c r="N64" s="11">
        <f>(Table1[[#This Row],[NTE Approved ]]-Table1[[#This Row],[Cost]])/Table1[[#This Row],[Cost]]</f>
        <v>2.103423431798638</v>
      </c>
      <c r="O64" s="17" t="s">
        <v>287</v>
      </c>
      <c r="P64" t="s">
        <v>28</v>
      </c>
      <c r="Q64" s="1"/>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row>
    <row r="65" spans="1:153" s="7" customFormat="1" ht="27" customHeight="1" x14ac:dyDescent="0.3">
      <c r="A65" s="7">
        <v>337450152</v>
      </c>
      <c r="B65" s="7" t="s">
        <v>125</v>
      </c>
      <c r="C65" s="8">
        <v>46030</v>
      </c>
      <c r="D65" s="8">
        <v>46031</v>
      </c>
      <c r="E65" s="7" t="s">
        <v>21</v>
      </c>
      <c r="F65" s="7" t="s">
        <v>59</v>
      </c>
      <c r="G65" s="7" t="s">
        <v>60</v>
      </c>
      <c r="H65" s="9" t="s">
        <v>288</v>
      </c>
      <c r="I65" s="7" t="s">
        <v>289</v>
      </c>
      <c r="J65" s="7" t="s">
        <v>290</v>
      </c>
      <c r="K65" s="10">
        <v>350</v>
      </c>
      <c r="L65" s="10">
        <v>412.44</v>
      </c>
      <c r="M65" s="10">
        <v>230</v>
      </c>
      <c r="N65" s="11">
        <f>(Table1[[#This Row],[NTE Approved ]]-Table1[[#This Row],[Cost]])/Table1[[#This Row],[Cost]]</f>
        <v>0.79321739130434776</v>
      </c>
      <c r="O65" s="9" t="s">
        <v>291</v>
      </c>
      <c r="P65" s="7" t="s">
        <v>28</v>
      </c>
      <c r="Q65" s="8"/>
      <c r="T65" s="8"/>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row>
    <row r="66" spans="1:153" ht="27" customHeight="1" x14ac:dyDescent="0.3">
      <c r="A66" s="7">
        <v>337462421</v>
      </c>
      <c r="B66" s="7" t="s">
        <v>73</v>
      </c>
      <c r="C66" s="8">
        <v>46031</v>
      </c>
      <c r="D66" s="8">
        <v>46031</v>
      </c>
      <c r="E66" s="7" t="s">
        <v>21</v>
      </c>
      <c r="F66" s="7" t="s">
        <v>59</v>
      </c>
      <c r="G66" s="7" t="s">
        <v>116</v>
      </c>
      <c r="H66" s="9" t="s">
        <v>292</v>
      </c>
      <c r="I66" s="7" t="s">
        <v>293</v>
      </c>
      <c r="J66" s="7" t="s">
        <v>144</v>
      </c>
      <c r="K66" s="10">
        <v>800</v>
      </c>
      <c r="L66" s="10">
        <v>424</v>
      </c>
      <c r="M66" s="10">
        <v>175</v>
      </c>
      <c r="N66" s="11">
        <f>(Table1[[#This Row],[NTE Approved ]]-Table1[[#This Row],[Cost]])/Table1[[#This Row],[Cost]]</f>
        <v>1.4228571428571428</v>
      </c>
      <c r="O66" s="9" t="s">
        <v>294</v>
      </c>
      <c r="P66" s="7" t="s">
        <v>28</v>
      </c>
      <c r="Q66" s="8"/>
      <c r="R66" s="7"/>
      <c r="S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row>
    <row r="67" spans="1:153" s="7" customFormat="1" ht="27" customHeight="1" x14ac:dyDescent="0.3">
      <c r="A67" s="7">
        <v>336339870</v>
      </c>
      <c r="B67" s="7" t="s">
        <v>295</v>
      </c>
      <c r="C67" s="8">
        <v>46021</v>
      </c>
      <c r="D67" s="8">
        <v>46037</v>
      </c>
      <c r="E67" s="7" t="s">
        <v>21</v>
      </c>
      <c r="F67" s="7" t="s">
        <v>38</v>
      </c>
      <c r="G67" s="7" t="s">
        <v>39</v>
      </c>
      <c r="H67" s="9" t="s">
        <v>296</v>
      </c>
      <c r="I67" s="7" t="s">
        <v>297</v>
      </c>
      <c r="J67" s="7" t="s">
        <v>216</v>
      </c>
      <c r="K67" s="10">
        <v>500</v>
      </c>
      <c r="L67" s="10">
        <v>900</v>
      </c>
      <c r="M67" s="10">
        <v>450</v>
      </c>
      <c r="N67" s="11">
        <f>(Table1[[#This Row],[NTE Approved ]]-Table1[[#This Row],[Cost]])/Table1[[#This Row],[Cost]]</f>
        <v>1</v>
      </c>
      <c r="O67" s="9" t="s">
        <v>298</v>
      </c>
      <c r="P67" s="7" t="s">
        <v>28</v>
      </c>
      <c r="Q67" s="8"/>
      <c r="T67" s="8"/>
    </row>
    <row r="68" spans="1:153" s="7" customFormat="1" ht="27" customHeight="1" x14ac:dyDescent="0.3">
      <c r="A68" s="7">
        <v>337514845</v>
      </c>
      <c r="B68" s="7" t="s">
        <v>91</v>
      </c>
      <c r="C68" s="8">
        <v>46031</v>
      </c>
      <c r="D68" s="8">
        <v>46031</v>
      </c>
      <c r="E68" s="7" t="s">
        <v>21</v>
      </c>
      <c r="F68" s="7" t="s">
        <v>59</v>
      </c>
      <c r="G68" s="7" t="s">
        <v>150</v>
      </c>
      <c r="H68" s="9" t="s">
        <v>299</v>
      </c>
      <c r="I68" s="7" t="s">
        <v>300</v>
      </c>
      <c r="J68" s="7" t="s">
        <v>42</v>
      </c>
      <c r="K68" s="10">
        <v>800</v>
      </c>
      <c r="L68" s="10">
        <v>1399.61</v>
      </c>
      <c r="M68" s="10">
        <v>500</v>
      </c>
      <c r="N68" s="11">
        <f>(Table1[[#This Row],[NTE Approved ]]-Table1[[#This Row],[Cost]])/Table1[[#This Row],[Cost]]</f>
        <v>1.7992199999999998</v>
      </c>
      <c r="O68" s="9" t="s">
        <v>301</v>
      </c>
      <c r="P68" s="7" t="s">
        <v>28</v>
      </c>
      <c r="Q68" s="8"/>
      <c r="T68" s="8"/>
    </row>
    <row r="69" spans="1:153" s="7" customFormat="1" ht="27" customHeight="1" x14ac:dyDescent="0.3">
      <c r="A69" s="7">
        <v>337511593</v>
      </c>
      <c r="B69" s="7" t="s">
        <v>163</v>
      </c>
      <c r="C69" s="8">
        <v>46031</v>
      </c>
      <c r="D69" s="8">
        <v>46031</v>
      </c>
      <c r="E69" s="7" t="s">
        <v>21</v>
      </c>
      <c r="F69" s="7" t="s">
        <v>30</v>
      </c>
      <c r="G69" s="7" t="s">
        <v>126</v>
      </c>
      <c r="H69" s="9" t="s">
        <v>302</v>
      </c>
      <c r="I69" s="7" t="s">
        <v>303</v>
      </c>
      <c r="J69" s="7" t="s">
        <v>195</v>
      </c>
      <c r="K69" s="10">
        <v>750</v>
      </c>
      <c r="L69" s="10">
        <v>607.5</v>
      </c>
      <c r="M69" s="10">
        <v>275</v>
      </c>
      <c r="N69" s="11">
        <f>(Table1[[#This Row],[NTE Approved ]]-Table1[[#This Row],[Cost]])/Table1[[#This Row],[Cost]]</f>
        <v>1.209090909090909</v>
      </c>
      <c r="O69" s="9" t="s">
        <v>304</v>
      </c>
      <c r="P69" s="7" t="s">
        <v>28</v>
      </c>
      <c r="Q69" s="8"/>
      <c r="T69" s="8"/>
    </row>
    <row r="70" spans="1:153" s="7" customFormat="1" ht="27" customHeight="1" x14ac:dyDescent="0.3">
      <c r="A70" s="7">
        <v>335627755</v>
      </c>
      <c r="B70" s="7" t="s">
        <v>125</v>
      </c>
      <c r="C70" s="8">
        <v>46021</v>
      </c>
      <c r="D70" s="8">
        <v>46021</v>
      </c>
      <c r="E70" s="7" t="s">
        <v>21</v>
      </c>
      <c r="F70" s="7" t="s">
        <v>38</v>
      </c>
      <c r="G70" s="7" t="s">
        <v>86</v>
      </c>
      <c r="H70" s="9" t="s">
        <v>305</v>
      </c>
      <c r="I70" s="9" t="s">
        <v>306</v>
      </c>
      <c r="J70" s="7" t="s">
        <v>206</v>
      </c>
      <c r="K70" s="10">
        <v>550</v>
      </c>
      <c r="L70" s="10">
        <v>844.25</v>
      </c>
      <c r="M70" s="10">
        <v>450</v>
      </c>
      <c r="N70" s="11">
        <f>(Table1[[#This Row],[NTE Approved ]]-Table1[[#This Row],[Cost]])/Table1[[#This Row],[Cost]]</f>
        <v>0.87611111111111106</v>
      </c>
      <c r="O70" s="9" t="s">
        <v>307</v>
      </c>
      <c r="P70" s="7" t="s">
        <v>28</v>
      </c>
      <c r="Q70" s="8"/>
      <c r="T70" s="8"/>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row>
    <row r="71" spans="1:153" s="9" customFormat="1" ht="27" customHeight="1" x14ac:dyDescent="0.3">
      <c r="A71" s="9">
        <v>335755108</v>
      </c>
      <c r="B71" s="9" t="s">
        <v>20</v>
      </c>
      <c r="C71" s="13">
        <v>46013</v>
      </c>
      <c r="D71" s="13">
        <v>46013</v>
      </c>
      <c r="E71" s="9" t="s">
        <v>21</v>
      </c>
      <c r="F71" s="9" t="s">
        <v>22</v>
      </c>
      <c r="G71" s="9" t="s">
        <v>308</v>
      </c>
      <c r="H71" s="9" t="s">
        <v>309</v>
      </c>
      <c r="I71" s="9" t="s">
        <v>310</v>
      </c>
      <c r="J71" s="9" t="s">
        <v>311</v>
      </c>
      <c r="K71" s="14">
        <v>750</v>
      </c>
      <c r="L71" s="14">
        <v>1249.3800000000001</v>
      </c>
      <c r="M71" s="14">
        <v>675</v>
      </c>
      <c r="N71" s="11">
        <f>(Table1[[#This Row],[NTE Approved ]]-Table1[[#This Row],[Cost]])/Table1[[#This Row],[Cost]]</f>
        <v>0.85093333333333354</v>
      </c>
      <c r="O71" s="9" t="s">
        <v>312</v>
      </c>
      <c r="P71" s="9" t="s">
        <v>28</v>
      </c>
      <c r="Q71" s="13"/>
      <c r="T71" s="8"/>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row>
    <row r="72" spans="1:153" s="7" customFormat="1" ht="27" customHeight="1" x14ac:dyDescent="0.3">
      <c r="A72" s="7">
        <v>335374720</v>
      </c>
      <c r="B72" s="7" t="s">
        <v>20</v>
      </c>
      <c r="C72" s="8">
        <v>46009</v>
      </c>
      <c r="D72" s="8">
        <v>46014</v>
      </c>
      <c r="E72" s="7" t="s">
        <v>21</v>
      </c>
      <c r="F72" s="7" t="s">
        <v>38</v>
      </c>
      <c r="G72" s="7" t="s">
        <v>313</v>
      </c>
      <c r="H72" s="9" t="s">
        <v>314</v>
      </c>
      <c r="I72" s="7" t="s">
        <v>315</v>
      </c>
      <c r="J72" s="7" t="s">
        <v>49</v>
      </c>
      <c r="K72" s="10">
        <v>250</v>
      </c>
      <c r="L72" s="10">
        <v>887.61</v>
      </c>
      <c r="M72" s="10">
        <v>460</v>
      </c>
      <c r="N72" s="11">
        <f>(Table1[[#This Row],[NTE Approved ]]-Table1[[#This Row],[Cost]])/Table1[[#This Row],[Cost]]</f>
        <v>0.92958695652173917</v>
      </c>
      <c r="O72" s="9" t="s">
        <v>316</v>
      </c>
      <c r="P72" s="7" t="s">
        <v>28</v>
      </c>
      <c r="Q72" s="8"/>
      <c r="R72" s="7" t="s">
        <v>68</v>
      </c>
      <c r="T72" s="8"/>
    </row>
    <row r="73" spans="1:153" s="7" customFormat="1" ht="27" customHeight="1" x14ac:dyDescent="0.3">
      <c r="A73" s="7">
        <v>335050772</v>
      </c>
      <c r="B73" s="7" t="s">
        <v>91</v>
      </c>
      <c r="C73" s="8">
        <v>46007</v>
      </c>
      <c r="D73" s="8">
        <v>46013</v>
      </c>
      <c r="E73" s="7" t="s">
        <v>21</v>
      </c>
      <c r="F73" s="7" t="s">
        <v>317</v>
      </c>
      <c r="G73" s="7" t="s">
        <v>318</v>
      </c>
      <c r="H73" s="9" t="s">
        <v>319</v>
      </c>
      <c r="I73" s="7" t="s">
        <v>320</v>
      </c>
      <c r="J73" s="7" t="s">
        <v>49</v>
      </c>
      <c r="K73" s="10">
        <v>200</v>
      </c>
      <c r="L73" s="10">
        <v>1210.45</v>
      </c>
      <c r="M73" s="10">
        <v>475</v>
      </c>
      <c r="N73" s="11">
        <f>(Table1[[#This Row],[NTE Approved ]]-Table1[[#This Row],[Cost]])/Table1[[#This Row],[Cost]]</f>
        <v>1.5483157894736843</v>
      </c>
      <c r="O73" s="9" t="s">
        <v>321</v>
      </c>
      <c r="P73" s="7" t="s">
        <v>28</v>
      </c>
      <c r="Q73" s="8"/>
      <c r="R73" s="7" t="s">
        <v>68</v>
      </c>
      <c r="T73" s="8"/>
    </row>
    <row r="74" spans="1:153" s="7" customFormat="1" ht="27" customHeight="1" x14ac:dyDescent="0.3">
      <c r="A74" s="7">
        <v>336416981</v>
      </c>
      <c r="B74" s="7" t="s">
        <v>91</v>
      </c>
      <c r="C74" s="8">
        <v>46024</v>
      </c>
      <c r="D74" s="8">
        <v>46028</v>
      </c>
      <c r="E74" s="7" t="s">
        <v>21</v>
      </c>
      <c r="F74" s="7" t="s">
        <v>22</v>
      </c>
      <c r="G74" s="7" t="s">
        <v>224</v>
      </c>
      <c r="H74" s="9" t="s">
        <v>322</v>
      </c>
      <c r="I74" s="7" t="s">
        <v>323</v>
      </c>
      <c r="J74" s="7" t="s">
        <v>144</v>
      </c>
      <c r="K74" s="10">
        <v>1500</v>
      </c>
      <c r="L74" s="10">
        <v>2490.0700000000002</v>
      </c>
      <c r="M74" s="10">
        <v>803.78</v>
      </c>
      <c r="N74" s="11">
        <f>(Table1[[#This Row],[NTE Approved ]]-Table1[[#This Row],[Cost]])/Table1[[#This Row],[Cost]]</f>
        <v>2.0979496877254973</v>
      </c>
      <c r="O74" s="9" t="s">
        <v>255</v>
      </c>
      <c r="P74" s="7" t="s">
        <v>28</v>
      </c>
      <c r="Q74" s="8"/>
      <c r="T74" s="8"/>
    </row>
    <row r="75" spans="1:153" s="7" customFormat="1" ht="27" customHeight="1" x14ac:dyDescent="0.3">
      <c r="A75" s="7">
        <v>337442026</v>
      </c>
      <c r="B75" s="7" t="s">
        <v>29</v>
      </c>
      <c r="C75" s="8">
        <v>46030</v>
      </c>
      <c r="D75" s="8">
        <v>46034</v>
      </c>
      <c r="E75" s="7" t="s">
        <v>21</v>
      </c>
      <c r="F75" s="7" t="s">
        <v>38</v>
      </c>
      <c r="G75" s="7" t="s">
        <v>324</v>
      </c>
      <c r="H75" s="9" t="s">
        <v>325</v>
      </c>
      <c r="I75" s="7" t="s">
        <v>326</v>
      </c>
      <c r="J75" s="7" t="s">
        <v>206</v>
      </c>
      <c r="K75" s="10">
        <v>500</v>
      </c>
      <c r="L75" s="10">
        <v>493.46</v>
      </c>
      <c r="M75" s="10">
        <v>253.2</v>
      </c>
      <c r="N75" s="11">
        <f>(Table1[[#This Row],[NTE Approved ]]-Table1[[#This Row],[Cost]])/Table1[[#This Row],[Cost]]</f>
        <v>0.9488941548183254</v>
      </c>
      <c r="O75" s="9" t="s">
        <v>327</v>
      </c>
      <c r="P75" s="7" t="s">
        <v>28</v>
      </c>
      <c r="Q75" s="8"/>
      <c r="T75" s="8"/>
    </row>
    <row r="76" spans="1:153" s="7" customFormat="1" ht="27" customHeight="1" x14ac:dyDescent="0.3">
      <c r="A76" s="7">
        <v>337758130</v>
      </c>
      <c r="B76" s="7" t="s">
        <v>163</v>
      </c>
      <c r="C76" s="8">
        <v>46034</v>
      </c>
      <c r="D76" s="8">
        <v>46034</v>
      </c>
      <c r="E76" s="7" t="s">
        <v>21</v>
      </c>
      <c r="F76" s="7" t="s">
        <v>22</v>
      </c>
      <c r="G76" s="7" t="s">
        <v>328</v>
      </c>
      <c r="H76" s="9" t="s">
        <v>329</v>
      </c>
      <c r="I76" s="7" t="s">
        <v>330</v>
      </c>
      <c r="J76" s="7" t="s">
        <v>235</v>
      </c>
      <c r="K76" s="10">
        <v>750</v>
      </c>
      <c r="L76" s="10">
        <v>1176.5999999999999</v>
      </c>
      <c r="M76" s="10">
        <v>500</v>
      </c>
      <c r="N76" s="11">
        <f>(Table1[[#This Row],[NTE Approved ]]-Table1[[#This Row],[Cost]])/Table1[[#This Row],[Cost]]</f>
        <v>1.3531999999999997</v>
      </c>
      <c r="O76" s="9" t="s">
        <v>331</v>
      </c>
      <c r="P76" s="7" t="s">
        <v>28</v>
      </c>
      <c r="Q76" s="8"/>
      <c r="T76" s="8"/>
    </row>
    <row r="77" spans="1:153" s="7" customFormat="1" ht="27" customHeight="1" x14ac:dyDescent="0.3">
      <c r="A77" s="7">
        <v>328429176</v>
      </c>
      <c r="B77" s="7" t="s">
        <v>91</v>
      </c>
      <c r="C77" s="8">
        <v>45940</v>
      </c>
      <c r="D77" s="8">
        <v>45946</v>
      </c>
      <c r="E77" s="7" t="s">
        <v>21</v>
      </c>
      <c r="F77" s="7" t="s">
        <v>185</v>
      </c>
      <c r="G77" s="7" t="s">
        <v>332</v>
      </c>
      <c r="H77" s="9" t="s">
        <v>333</v>
      </c>
      <c r="I77" s="7" t="s">
        <v>334</v>
      </c>
      <c r="J77" s="7" t="s">
        <v>49</v>
      </c>
      <c r="K77" s="10">
        <v>150</v>
      </c>
      <c r="L77" s="10">
        <v>7017.06</v>
      </c>
      <c r="M77" s="10">
        <v>4565.3999999999996</v>
      </c>
      <c r="N77" s="11">
        <f>(Table1[[#This Row],[NTE Approved ]]-Table1[[#This Row],[Cost]])/Table1[[#This Row],[Cost]]</f>
        <v>0.53700880536207141</v>
      </c>
      <c r="O77" s="9" t="s">
        <v>335</v>
      </c>
      <c r="P77" s="7" t="s">
        <v>28</v>
      </c>
      <c r="Q77" s="8"/>
      <c r="R77" s="7" t="s">
        <v>68</v>
      </c>
      <c r="T77" s="8"/>
    </row>
    <row r="78" spans="1:153" s="7" customFormat="1" ht="27" customHeight="1" x14ac:dyDescent="0.3">
      <c r="A78" s="7">
        <v>337212369</v>
      </c>
      <c r="B78" s="7" t="s">
        <v>73</v>
      </c>
      <c r="C78" s="8">
        <v>46028</v>
      </c>
      <c r="D78" s="8">
        <v>46035</v>
      </c>
      <c r="E78" s="7" t="s">
        <v>21</v>
      </c>
      <c r="F78" s="7" t="s">
        <v>22</v>
      </c>
      <c r="G78" s="7" t="s">
        <v>336</v>
      </c>
      <c r="H78" s="9" t="s">
        <v>337</v>
      </c>
      <c r="I78" s="7" t="s">
        <v>338</v>
      </c>
      <c r="J78" s="7" t="s">
        <v>339</v>
      </c>
      <c r="K78" s="10">
        <v>750</v>
      </c>
      <c r="L78" s="10">
        <v>445.39</v>
      </c>
      <c r="M78" s="10">
        <v>200</v>
      </c>
      <c r="N78" s="11">
        <f>(Table1[[#This Row],[NTE Approved ]]-Table1[[#This Row],[Cost]])/Table1[[#This Row],[Cost]]</f>
        <v>1.22695</v>
      </c>
      <c r="O78" s="9" t="s">
        <v>340</v>
      </c>
      <c r="P78" s="7" t="s">
        <v>28</v>
      </c>
      <c r="Q78" s="8"/>
      <c r="T78" s="8"/>
    </row>
    <row r="79" spans="1:153" s="7" customFormat="1" ht="27" customHeight="1" x14ac:dyDescent="0.3">
      <c r="A79" s="7">
        <v>337328694</v>
      </c>
      <c r="B79" s="7" t="s">
        <v>163</v>
      </c>
      <c r="C79" s="8">
        <v>46029</v>
      </c>
      <c r="D79" s="8">
        <v>46031</v>
      </c>
      <c r="E79" s="7" t="s">
        <v>21</v>
      </c>
      <c r="F79" s="7" t="s">
        <v>30</v>
      </c>
      <c r="G79" s="7" t="s">
        <v>126</v>
      </c>
      <c r="H79" s="9" t="s">
        <v>211</v>
      </c>
      <c r="I79" s="7" t="s">
        <v>341</v>
      </c>
      <c r="J79" s="7" t="s">
        <v>195</v>
      </c>
      <c r="K79" s="10">
        <v>750</v>
      </c>
      <c r="L79" s="10">
        <v>997.92</v>
      </c>
      <c r="M79" s="10">
        <v>375</v>
      </c>
      <c r="N79" s="11">
        <f>(Table1[[#This Row],[NTE Approved ]]-Table1[[#This Row],[Cost]])/Table1[[#This Row],[Cost]]</f>
        <v>1.6611199999999999</v>
      </c>
      <c r="O79" s="9" t="s">
        <v>342</v>
      </c>
      <c r="P79" s="7" t="s">
        <v>28</v>
      </c>
      <c r="Q79" s="8"/>
      <c r="T79" s="8"/>
    </row>
    <row r="80" spans="1:153" s="7" customFormat="1" ht="27" customHeight="1" x14ac:dyDescent="0.3">
      <c r="A80" s="7">
        <v>335863532</v>
      </c>
      <c r="B80" s="7" t="s">
        <v>29</v>
      </c>
      <c r="C80" s="8">
        <v>46014</v>
      </c>
      <c r="D80" s="8">
        <v>46021</v>
      </c>
      <c r="E80" s="7" t="s">
        <v>21</v>
      </c>
      <c r="F80" s="7" t="s">
        <v>38</v>
      </c>
      <c r="G80" s="7" t="s">
        <v>39</v>
      </c>
      <c r="H80" s="9" t="s">
        <v>343</v>
      </c>
      <c r="I80" s="7" t="s">
        <v>344</v>
      </c>
      <c r="J80" s="7" t="s">
        <v>132</v>
      </c>
      <c r="K80" s="10">
        <v>750</v>
      </c>
      <c r="L80" s="10">
        <v>846.93</v>
      </c>
      <c r="M80" s="10">
        <v>425</v>
      </c>
      <c r="N80" s="11">
        <f>(Table1[[#This Row],[NTE Approved ]]-Table1[[#This Row],[Cost]])/Table1[[#This Row],[Cost]]</f>
        <v>0.99277647058823515</v>
      </c>
      <c r="O80" s="9" t="s">
        <v>345</v>
      </c>
      <c r="P80" s="7" t="s">
        <v>28</v>
      </c>
      <c r="Q80" s="8"/>
      <c r="T80" s="8"/>
    </row>
    <row r="81" spans="1:20" s="7" customFormat="1" ht="27" customHeight="1" x14ac:dyDescent="0.3">
      <c r="A81" s="7">
        <v>337557213</v>
      </c>
      <c r="B81" s="7" t="s">
        <v>73</v>
      </c>
      <c r="C81" s="8">
        <v>46031</v>
      </c>
      <c r="D81" s="8">
        <v>46034</v>
      </c>
      <c r="E81" s="7" t="s">
        <v>21</v>
      </c>
      <c r="F81" s="7" t="s">
        <v>59</v>
      </c>
      <c r="G81" s="7" t="s">
        <v>346</v>
      </c>
      <c r="H81" s="9" t="s">
        <v>347</v>
      </c>
      <c r="I81" s="7" t="s">
        <v>176</v>
      </c>
      <c r="J81" s="7" t="s">
        <v>104</v>
      </c>
      <c r="K81" s="10">
        <v>450</v>
      </c>
      <c r="L81" s="10">
        <v>1293.1099999999999</v>
      </c>
      <c r="M81" s="10">
        <v>650</v>
      </c>
      <c r="N81" s="11">
        <f>(Table1[[#This Row],[NTE Approved ]]-Table1[[#This Row],[Cost]])/Table1[[#This Row],[Cost]]</f>
        <v>0.98939999999999984</v>
      </c>
      <c r="O81" s="9" t="s">
        <v>348</v>
      </c>
      <c r="P81" s="7" t="s">
        <v>28</v>
      </c>
      <c r="Q81" s="8"/>
      <c r="T81" s="8"/>
    </row>
    <row r="82" spans="1:20" s="7" customFormat="1" ht="27" customHeight="1" x14ac:dyDescent="0.3">
      <c r="A82" s="7">
        <v>336418752</v>
      </c>
      <c r="B82" s="7" t="s">
        <v>20</v>
      </c>
      <c r="C82" s="8">
        <v>46024</v>
      </c>
      <c r="D82" s="8">
        <v>46029</v>
      </c>
      <c r="E82" s="7" t="s">
        <v>21</v>
      </c>
      <c r="F82" s="7" t="s">
        <v>22</v>
      </c>
      <c r="G82" s="7" t="s">
        <v>224</v>
      </c>
      <c r="H82" s="9" t="s">
        <v>349</v>
      </c>
      <c r="I82" s="7" t="s">
        <v>260</v>
      </c>
      <c r="J82" s="7" t="s">
        <v>227</v>
      </c>
      <c r="K82" s="10">
        <v>1500</v>
      </c>
      <c r="L82" s="10">
        <v>2853.33</v>
      </c>
      <c r="M82" s="10">
        <v>1550</v>
      </c>
      <c r="N82" s="11">
        <f>(Table1[[#This Row],[NTE Approved ]]-Table1[[#This Row],[Cost]])/Table1[[#This Row],[Cost]]</f>
        <v>0.84085806451612899</v>
      </c>
      <c r="O82" s="9" t="s">
        <v>350</v>
      </c>
      <c r="P82" s="7" t="s">
        <v>28</v>
      </c>
      <c r="Q82" s="8"/>
      <c r="T82" s="8"/>
    </row>
    <row r="83" spans="1:20" s="7" customFormat="1" ht="27" customHeight="1" x14ac:dyDescent="0.3">
      <c r="A83" s="7">
        <v>334718549</v>
      </c>
      <c r="B83" s="7" t="s">
        <v>91</v>
      </c>
      <c r="C83" s="8">
        <v>46003</v>
      </c>
      <c r="D83" s="8">
        <v>46003</v>
      </c>
      <c r="E83" s="7" t="s">
        <v>21</v>
      </c>
      <c r="F83" s="7" t="s">
        <v>59</v>
      </c>
      <c r="G83" s="7" t="s">
        <v>60</v>
      </c>
      <c r="H83" s="9" t="s">
        <v>178</v>
      </c>
      <c r="I83" s="7" t="s">
        <v>179</v>
      </c>
      <c r="J83" s="7" t="s">
        <v>56</v>
      </c>
      <c r="K83" s="10">
        <v>500</v>
      </c>
      <c r="L83" s="10">
        <v>1299.1199999999999</v>
      </c>
      <c r="M83" s="10">
        <v>952.34</v>
      </c>
      <c r="N83" s="11">
        <f>(Table1[[#This Row],[NTE Approved ]]-Table1[[#This Row],[Cost]])/Table1[[#This Row],[Cost]]</f>
        <v>0.36413465779028481</v>
      </c>
      <c r="O83" s="9" t="s">
        <v>351</v>
      </c>
      <c r="P83" s="7" t="s">
        <v>28</v>
      </c>
      <c r="Q83" s="8"/>
      <c r="R83" s="7" t="s">
        <v>68</v>
      </c>
      <c r="T83" s="8"/>
    </row>
    <row r="84" spans="1:20" s="7" customFormat="1" ht="27" customHeight="1" x14ac:dyDescent="0.3">
      <c r="A84" s="7">
        <v>334259753</v>
      </c>
      <c r="B84" s="7" t="s">
        <v>163</v>
      </c>
      <c r="C84" s="8">
        <v>45999</v>
      </c>
      <c r="D84" s="8">
        <v>45999</v>
      </c>
      <c r="E84" s="7" t="s">
        <v>21</v>
      </c>
      <c r="F84" s="7" t="s">
        <v>22</v>
      </c>
      <c r="G84" s="7" t="s">
        <v>92</v>
      </c>
      <c r="H84" s="9" t="s">
        <v>352</v>
      </c>
      <c r="I84" s="7" t="s">
        <v>353</v>
      </c>
      <c r="J84" s="7" t="s">
        <v>132</v>
      </c>
      <c r="K84" s="10">
        <v>750</v>
      </c>
      <c r="L84" s="10">
        <v>907.5</v>
      </c>
      <c r="M84" s="10">
        <v>455</v>
      </c>
      <c r="N84" s="11">
        <f>(Table1[[#This Row],[NTE Approved ]]-Table1[[#This Row],[Cost]])/Table1[[#This Row],[Cost]]</f>
        <v>0.99450549450549453</v>
      </c>
      <c r="O84" s="9" t="s">
        <v>354</v>
      </c>
      <c r="P84" s="7" t="s">
        <v>28</v>
      </c>
      <c r="Q84" s="8"/>
      <c r="T84" s="8"/>
    </row>
    <row r="85" spans="1:20" s="7" customFormat="1" ht="27" customHeight="1" x14ac:dyDescent="0.3">
      <c r="A85" s="7">
        <v>331779506</v>
      </c>
      <c r="B85" s="7" t="s">
        <v>91</v>
      </c>
      <c r="C85" s="8">
        <v>46005</v>
      </c>
      <c r="D85" s="8">
        <v>46006</v>
      </c>
      <c r="E85" s="9" t="s">
        <v>355</v>
      </c>
      <c r="F85" s="7" t="s">
        <v>38</v>
      </c>
      <c r="G85" s="7" t="s">
        <v>356</v>
      </c>
      <c r="H85" s="9" t="s">
        <v>357</v>
      </c>
      <c r="I85" s="7" t="s">
        <v>358</v>
      </c>
      <c r="J85" s="7" t="s">
        <v>144</v>
      </c>
      <c r="K85" s="10">
        <v>400</v>
      </c>
      <c r="L85" s="10">
        <v>1817.15</v>
      </c>
      <c r="M85" s="10">
        <v>400</v>
      </c>
      <c r="N85" s="11">
        <f>(Table1[[#This Row],[NTE Approved ]]-Table1[[#This Row],[Cost]])/Table1[[#This Row],[Cost]]</f>
        <v>3.5428750000000004</v>
      </c>
      <c r="O85" s="9" t="s">
        <v>359</v>
      </c>
      <c r="P85" s="7" t="s">
        <v>28</v>
      </c>
      <c r="Q85" s="8"/>
      <c r="T85" s="8"/>
    </row>
    <row r="86" spans="1:20" s="7" customFormat="1" ht="27" customHeight="1" x14ac:dyDescent="0.3">
      <c r="A86" s="7">
        <v>6056</v>
      </c>
      <c r="B86" s="7" t="s">
        <v>295</v>
      </c>
      <c r="C86" s="8">
        <v>46028</v>
      </c>
      <c r="D86" s="8">
        <v>46030</v>
      </c>
      <c r="E86" s="7" t="s">
        <v>360</v>
      </c>
      <c r="F86" s="7" t="s">
        <v>361</v>
      </c>
      <c r="G86" s="7" t="s">
        <v>362</v>
      </c>
      <c r="H86" s="9" t="s">
        <v>363</v>
      </c>
      <c r="I86" s="7" t="s">
        <v>364</v>
      </c>
      <c r="J86" s="7" t="s">
        <v>365</v>
      </c>
      <c r="K86" s="10"/>
      <c r="L86" s="10">
        <v>1300</v>
      </c>
      <c r="M86" s="10">
        <v>400</v>
      </c>
      <c r="N86" s="11">
        <f>(Table1[[#This Row],[NTE Approved ]]-Table1[[#This Row],[Cost]])/Table1[[#This Row],[Cost]]</f>
        <v>2.25</v>
      </c>
      <c r="O86" s="9" t="s">
        <v>366</v>
      </c>
      <c r="P86" s="7" t="s">
        <v>28</v>
      </c>
      <c r="Q86" s="8"/>
      <c r="T86" s="8"/>
    </row>
    <row r="87" spans="1:20" s="7" customFormat="1" ht="27" customHeight="1" x14ac:dyDescent="0.3">
      <c r="A87" s="7">
        <v>338135603</v>
      </c>
      <c r="B87" s="7" t="s">
        <v>125</v>
      </c>
      <c r="C87" s="8">
        <v>46041</v>
      </c>
      <c r="D87" s="8">
        <v>46046</v>
      </c>
      <c r="E87" s="7" t="s">
        <v>21</v>
      </c>
      <c r="F87" s="7" t="s">
        <v>361</v>
      </c>
      <c r="G87" s="7" t="s">
        <v>367</v>
      </c>
      <c r="H87" s="9" t="s">
        <v>368</v>
      </c>
      <c r="I87" s="7" t="s">
        <v>369</v>
      </c>
      <c r="J87" s="7" t="s">
        <v>104</v>
      </c>
      <c r="K87" s="10">
        <v>250</v>
      </c>
      <c r="L87" s="10"/>
      <c r="M87" s="10"/>
      <c r="N87" s="11" t="e">
        <f>(Table1[[#This Row],[NTE Approved ]]-Table1[[#This Row],[Cost]])/Table1[[#This Row],[Cost]]</f>
        <v>#DIV/0!</v>
      </c>
      <c r="O87" s="9" t="s">
        <v>370</v>
      </c>
      <c r="P87" s="9" t="s">
        <v>162</v>
      </c>
      <c r="Q87" s="8"/>
      <c r="T87" s="8"/>
    </row>
    <row r="88" spans="1:20" s="7" customFormat="1" ht="27" customHeight="1" x14ac:dyDescent="0.3">
      <c r="A88" s="7" t="s">
        <v>371</v>
      </c>
      <c r="B88" s="7" t="s">
        <v>295</v>
      </c>
      <c r="C88" s="8">
        <v>46015</v>
      </c>
      <c r="D88" s="8">
        <v>46022</v>
      </c>
      <c r="E88" s="7" t="s">
        <v>372</v>
      </c>
      <c r="F88" s="7" t="s">
        <v>373</v>
      </c>
      <c r="G88" s="7" t="s">
        <v>374</v>
      </c>
      <c r="H88" s="7" t="s">
        <v>375</v>
      </c>
      <c r="I88" s="7" t="s">
        <v>159</v>
      </c>
      <c r="J88" s="7" t="s">
        <v>160</v>
      </c>
      <c r="K88" s="10"/>
      <c r="L88" s="10">
        <v>2610.39</v>
      </c>
      <c r="M88" s="10">
        <v>1100</v>
      </c>
      <c r="N88" s="11">
        <f>(Table1[[#This Row],[NTE Approved ]]-Table1[[#This Row],[Cost]])/Table1[[#This Row],[Cost]]</f>
        <v>1.3730818181818181</v>
      </c>
      <c r="O88" s="9" t="s">
        <v>376</v>
      </c>
      <c r="P88" s="7" t="s">
        <v>28</v>
      </c>
      <c r="Q88" s="8"/>
      <c r="T88" s="8"/>
    </row>
    <row r="89" spans="1:20" s="7" customFormat="1" ht="27" customHeight="1" x14ac:dyDescent="0.3">
      <c r="A89" s="7" t="s">
        <v>377</v>
      </c>
      <c r="B89" s="7" t="s">
        <v>73</v>
      </c>
      <c r="C89" s="8">
        <v>46021</v>
      </c>
      <c r="D89" s="8">
        <v>46021</v>
      </c>
      <c r="E89" s="7" t="s">
        <v>372</v>
      </c>
      <c r="F89" s="7" t="s">
        <v>38</v>
      </c>
      <c r="G89" s="7" t="s">
        <v>378</v>
      </c>
      <c r="H89" s="9" t="s">
        <v>379</v>
      </c>
      <c r="I89" s="7" t="s">
        <v>380</v>
      </c>
      <c r="J89" s="7" t="s">
        <v>160</v>
      </c>
      <c r="K89" s="10"/>
      <c r="L89" s="10">
        <v>450</v>
      </c>
      <c r="M89" s="10">
        <v>250</v>
      </c>
      <c r="N89" s="11">
        <f>(Table1[[#This Row],[NTE Approved ]]-Table1[[#This Row],[Cost]])/Table1[[#This Row],[Cost]]</f>
        <v>0.8</v>
      </c>
      <c r="O89" s="9" t="s">
        <v>381</v>
      </c>
      <c r="P89" s="7" t="s">
        <v>28</v>
      </c>
      <c r="Q89" s="8"/>
      <c r="T89" s="8"/>
    </row>
    <row r="90" spans="1:20" s="7" customFormat="1" ht="27" customHeight="1" x14ac:dyDescent="0.3">
      <c r="A90" s="7" t="s">
        <v>382</v>
      </c>
      <c r="B90" s="7" t="s">
        <v>73</v>
      </c>
      <c r="C90" s="8">
        <v>46013</v>
      </c>
      <c r="D90" s="8">
        <v>46015</v>
      </c>
      <c r="E90" s="7" t="s">
        <v>372</v>
      </c>
      <c r="F90" s="7" t="s">
        <v>30</v>
      </c>
      <c r="G90" s="7" t="s">
        <v>82</v>
      </c>
      <c r="H90" s="9" t="s">
        <v>383</v>
      </c>
      <c r="I90" s="7" t="s">
        <v>384</v>
      </c>
      <c r="J90" s="7" t="s">
        <v>42</v>
      </c>
      <c r="K90" s="10"/>
      <c r="L90" s="10">
        <v>7984.11</v>
      </c>
      <c r="M90" s="10">
        <v>6500</v>
      </c>
      <c r="N90" s="11">
        <f>(Table1[[#This Row],[NTE Approved ]]-Table1[[#This Row],[Cost]])/Table1[[#This Row],[Cost]]</f>
        <v>0.22832461538461535</v>
      </c>
      <c r="O90" s="9" t="s">
        <v>385</v>
      </c>
      <c r="P90" s="7" t="s">
        <v>28</v>
      </c>
      <c r="Q90" s="8"/>
      <c r="T90" s="8"/>
    </row>
    <row r="91" spans="1:20" s="7" customFormat="1" ht="27" customHeight="1" x14ac:dyDescent="0.3">
      <c r="A91" s="9" t="s">
        <v>386</v>
      </c>
      <c r="B91" s="7" t="s">
        <v>295</v>
      </c>
      <c r="C91" s="8">
        <v>46024</v>
      </c>
      <c r="D91" s="8">
        <v>46024</v>
      </c>
      <c r="E91" s="9" t="s">
        <v>387</v>
      </c>
      <c r="F91" s="7" t="s">
        <v>22</v>
      </c>
      <c r="G91" s="7" t="s">
        <v>308</v>
      </c>
      <c r="H91" s="9" t="s">
        <v>388</v>
      </c>
      <c r="I91" s="7" t="s">
        <v>389</v>
      </c>
      <c r="J91" s="7" t="s">
        <v>235</v>
      </c>
      <c r="K91" s="10">
        <v>170</v>
      </c>
      <c r="L91" s="10">
        <v>1006.73</v>
      </c>
      <c r="M91" s="10">
        <v>200</v>
      </c>
      <c r="N91" s="11">
        <f>(Table1[[#This Row],[NTE Approved ]]-Table1[[#This Row],[Cost]])/Table1[[#This Row],[Cost]]</f>
        <v>4.0336499999999997</v>
      </c>
      <c r="O91" s="9" t="s">
        <v>390</v>
      </c>
      <c r="P91" s="7" t="s">
        <v>28</v>
      </c>
      <c r="Q91" s="8"/>
      <c r="T91" s="8"/>
    </row>
    <row r="92" spans="1:20" s="7" customFormat="1" ht="27" customHeight="1" x14ac:dyDescent="0.3">
      <c r="A92" s="7">
        <v>338654123</v>
      </c>
      <c r="B92" s="7" t="s">
        <v>163</v>
      </c>
      <c r="C92" s="8">
        <v>46043</v>
      </c>
      <c r="D92" s="8">
        <v>46045</v>
      </c>
      <c r="E92" s="7" t="s">
        <v>21</v>
      </c>
      <c r="F92" s="7" t="s">
        <v>38</v>
      </c>
      <c r="G92" s="9" t="s">
        <v>391</v>
      </c>
      <c r="H92" s="9" t="s">
        <v>392</v>
      </c>
      <c r="I92" s="7" t="s">
        <v>393</v>
      </c>
      <c r="J92" s="7" t="s">
        <v>216</v>
      </c>
      <c r="K92" s="10">
        <v>500</v>
      </c>
      <c r="L92" s="10">
        <v>265</v>
      </c>
      <c r="M92" s="10">
        <v>150</v>
      </c>
      <c r="N92" s="11">
        <f>(Table1[[#This Row],[NTE Approved ]]-Table1[[#This Row],[Cost]])/Table1[[#This Row],[Cost]]</f>
        <v>0.76666666666666672</v>
      </c>
      <c r="O92" s="9" t="s">
        <v>394</v>
      </c>
      <c r="P92" s="7" t="s">
        <v>51</v>
      </c>
      <c r="Q92" s="8"/>
      <c r="T92" s="8"/>
    </row>
    <row r="93" spans="1:20" s="7" customFormat="1" ht="27" customHeight="1" x14ac:dyDescent="0.3">
      <c r="A93" s="7">
        <v>336296189</v>
      </c>
      <c r="B93" s="7" t="s">
        <v>29</v>
      </c>
      <c r="C93" s="8">
        <v>46051</v>
      </c>
      <c r="D93" s="8">
        <v>46021</v>
      </c>
      <c r="E93" s="7" t="s">
        <v>21</v>
      </c>
      <c r="F93" s="7" t="s">
        <v>22</v>
      </c>
      <c r="G93" s="7" t="s">
        <v>258</v>
      </c>
      <c r="H93" s="9" t="s">
        <v>395</v>
      </c>
      <c r="I93" s="7" t="s">
        <v>396</v>
      </c>
      <c r="J93" s="7" t="s">
        <v>26</v>
      </c>
      <c r="K93" s="10">
        <v>750</v>
      </c>
      <c r="L93" s="10">
        <v>385.2</v>
      </c>
      <c r="M93" s="10">
        <v>120</v>
      </c>
      <c r="N93" s="11">
        <f>(Table1[[#This Row],[NTE Approved ]]-Table1[[#This Row],[Cost]])/Table1[[#This Row],[Cost]]</f>
        <v>2.21</v>
      </c>
      <c r="O93" s="9" t="s">
        <v>397</v>
      </c>
      <c r="P93" s="7" t="s">
        <v>28</v>
      </c>
      <c r="Q93" s="8"/>
      <c r="T93" s="8"/>
    </row>
    <row r="94" spans="1:20" s="7" customFormat="1" ht="27" customHeight="1" x14ac:dyDescent="0.3">
      <c r="A94" s="7">
        <v>336548521</v>
      </c>
      <c r="B94" s="7" t="s">
        <v>29</v>
      </c>
      <c r="C94" s="8">
        <v>46024</v>
      </c>
      <c r="D94" s="8">
        <v>46029</v>
      </c>
      <c r="E94" s="7" t="s">
        <v>21</v>
      </c>
      <c r="F94" s="7" t="s">
        <v>22</v>
      </c>
      <c r="G94" s="7" t="s">
        <v>23</v>
      </c>
      <c r="H94" s="9" t="s">
        <v>398</v>
      </c>
      <c r="I94" s="7" t="s">
        <v>399</v>
      </c>
      <c r="J94" s="7" t="s">
        <v>400</v>
      </c>
      <c r="K94" s="10">
        <v>750</v>
      </c>
      <c r="L94" s="10">
        <v>170</v>
      </c>
      <c r="M94" s="10">
        <v>60</v>
      </c>
      <c r="N94" s="11">
        <f>(Table1[[#This Row],[NTE Approved ]]-Table1[[#This Row],[Cost]])/Table1[[#This Row],[Cost]]</f>
        <v>1.8333333333333333</v>
      </c>
      <c r="O94" s="9" t="s">
        <v>401</v>
      </c>
      <c r="P94" s="7" t="s">
        <v>51</v>
      </c>
      <c r="Q94" s="8"/>
      <c r="T94" s="8"/>
    </row>
    <row r="95" spans="1:20" s="7" customFormat="1" ht="27" customHeight="1" x14ac:dyDescent="0.3">
      <c r="A95" s="7">
        <v>337245590</v>
      </c>
      <c r="B95" s="7" t="s">
        <v>91</v>
      </c>
      <c r="C95" s="8">
        <v>46028</v>
      </c>
      <c r="D95" s="8">
        <v>46029</v>
      </c>
      <c r="E95" s="7" t="s">
        <v>21</v>
      </c>
      <c r="F95" s="7" t="s">
        <v>30</v>
      </c>
      <c r="G95" s="7" t="s">
        <v>126</v>
      </c>
      <c r="H95" s="9" t="s">
        <v>402</v>
      </c>
      <c r="I95" s="7" t="s">
        <v>403</v>
      </c>
      <c r="J95" s="7" t="s">
        <v>42</v>
      </c>
      <c r="K95" s="10">
        <v>750</v>
      </c>
      <c r="L95" s="10">
        <v>282.27999999999997</v>
      </c>
      <c r="M95" s="10">
        <v>120</v>
      </c>
      <c r="N95" s="11">
        <f>(Table1[[#This Row],[NTE Approved ]]-Table1[[#This Row],[Cost]])/Table1[[#This Row],[Cost]]</f>
        <v>1.3523333333333332</v>
      </c>
      <c r="O95" s="9" t="s">
        <v>404</v>
      </c>
      <c r="P95" s="7" t="s">
        <v>28</v>
      </c>
      <c r="Q95" s="8"/>
      <c r="T95" s="8"/>
    </row>
    <row r="96" spans="1:20" s="7" customFormat="1" ht="27" customHeight="1" x14ac:dyDescent="0.3">
      <c r="A96" s="7">
        <v>337143585</v>
      </c>
      <c r="B96" s="7" t="s">
        <v>91</v>
      </c>
      <c r="C96" s="8">
        <v>46028</v>
      </c>
      <c r="D96" s="8">
        <v>46028</v>
      </c>
      <c r="E96" s="7" t="s">
        <v>21</v>
      </c>
      <c r="F96" s="7" t="s">
        <v>59</v>
      </c>
      <c r="G96" s="7" t="s">
        <v>116</v>
      </c>
      <c r="H96" s="9" t="s">
        <v>402</v>
      </c>
      <c r="I96" s="7" t="s">
        <v>403</v>
      </c>
      <c r="J96" s="7" t="s">
        <v>42</v>
      </c>
      <c r="K96" s="10">
        <v>800</v>
      </c>
      <c r="L96" s="10">
        <v>787.74</v>
      </c>
      <c r="M96" s="10">
        <v>447</v>
      </c>
      <c r="N96" s="11">
        <f>(Table1[[#This Row],[NTE Approved ]]-Table1[[#This Row],[Cost]])/Table1[[#This Row],[Cost]]</f>
        <v>0.76228187919463086</v>
      </c>
      <c r="O96" s="9" t="s">
        <v>405</v>
      </c>
      <c r="P96" s="7" t="s">
        <v>28</v>
      </c>
      <c r="Q96" s="8"/>
      <c r="T96" s="8"/>
    </row>
    <row r="97" spans="1:153" s="7" customFormat="1" ht="27" customHeight="1" x14ac:dyDescent="0.3">
      <c r="A97" s="7">
        <v>336780477</v>
      </c>
      <c r="B97" s="7" t="s">
        <v>20</v>
      </c>
      <c r="C97" s="8">
        <v>46029</v>
      </c>
      <c r="D97" s="8">
        <v>46029</v>
      </c>
      <c r="E97" s="7" t="s">
        <v>21</v>
      </c>
      <c r="F97" s="7" t="s">
        <v>59</v>
      </c>
      <c r="G97" s="7" t="s">
        <v>269</v>
      </c>
      <c r="H97" s="9" t="s">
        <v>406</v>
      </c>
      <c r="I97" s="7" t="s">
        <v>407</v>
      </c>
      <c r="J97" s="7" t="s">
        <v>216</v>
      </c>
      <c r="K97" s="10">
        <v>650</v>
      </c>
      <c r="L97" s="10">
        <v>649.33000000000004</v>
      </c>
      <c r="M97" s="10">
        <v>420</v>
      </c>
      <c r="N97" s="11">
        <f>(Table1[[#This Row],[NTE Approved ]]-Table1[[#This Row],[Cost]])/Table1[[#This Row],[Cost]]</f>
        <v>0.54602380952380958</v>
      </c>
      <c r="O97" s="9" t="s">
        <v>408</v>
      </c>
      <c r="P97" s="7" t="s">
        <v>28</v>
      </c>
      <c r="Q97" s="8"/>
      <c r="T97" s="8"/>
    </row>
    <row r="98" spans="1:153" s="7" customFormat="1" ht="27" customHeight="1" x14ac:dyDescent="0.3">
      <c r="A98" s="15">
        <v>337310265</v>
      </c>
      <c r="B98" s="7" t="s">
        <v>91</v>
      </c>
      <c r="C98" s="8">
        <v>46029</v>
      </c>
      <c r="D98" s="8">
        <v>46029</v>
      </c>
      <c r="E98" s="7" t="s">
        <v>21</v>
      </c>
      <c r="F98" s="7" t="s">
        <v>59</v>
      </c>
      <c r="G98" s="7" t="s">
        <v>60</v>
      </c>
      <c r="H98" s="9" t="s">
        <v>178</v>
      </c>
      <c r="I98" s="7" t="s">
        <v>179</v>
      </c>
      <c r="J98" s="7" t="s">
        <v>56</v>
      </c>
      <c r="K98" s="10">
        <v>500</v>
      </c>
      <c r="L98" s="10">
        <v>374.95</v>
      </c>
      <c r="M98" s="10">
        <v>175</v>
      </c>
      <c r="N98" s="11">
        <f>(Table1[[#This Row],[NTE Approved ]]-Table1[[#This Row],[Cost]])/Table1[[#This Row],[Cost]]</f>
        <v>1.1425714285714286</v>
      </c>
      <c r="O98" s="9" t="s">
        <v>409</v>
      </c>
      <c r="P98" s="7" t="s">
        <v>28</v>
      </c>
      <c r="Q98" s="8"/>
      <c r="T98" s="8"/>
    </row>
    <row r="99" spans="1:153" s="7" customFormat="1" ht="27" customHeight="1" x14ac:dyDescent="0.3">
      <c r="A99" s="7">
        <v>336418051</v>
      </c>
      <c r="B99" s="7" t="s">
        <v>163</v>
      </c>
      <c r="C99" s="8">
        <v>46024</v>
      </c>
      <c r="D99" s="8">
        <v>46029</v>
      </c>
      <c r="E99" s="7" t="s">
        <v>21</v>
      </c>
      <c r="F99" s="7" t="s">
        <v>22</v>
      </c>
      <c r="G99" s="7" t="s">
        <v>224</v>
      </c>
      <c r="H99" s="9" t="s">
        <v>410</v>
      </c>
      <c r="I99" s="7" t="s">
        <v>254</v>
      </c>
      <c r="J99" s="7" t="s">
        <v>227</v>
      </c>
      <c r="K99" s="10">
        <v>1500</v>
      </c>
      <c r="L99" s="10">
        <v>288.19</v>
      </c>
      <c r="M99" s="10">
        <v>150</v>
      </c>
      <c r="N99" s="11">
        <f>(Table1[[#This Row],[NTE Approved ]]-Table1[[#This Row],[Cost]])/Table1[[#This Row],[Cost]]</f>
        <v>0.92126666666666668</v>
      </c>
      <c r="O99" s="9" t="s">
        <v>411</v>
      </c>
      <c r="P99" s="7" t="s">
        <v>28</v>
      </c>
      <c r="Q99" s="8"/>
      <c r="T99" s="8"/>
    </row>
    <row r="100" spans="1:153" s="7" customFormat="1" ht="27" customHeight="1" x14ac:dyDescent="0.3">
      <c r="A100" s="7">
        <v>337217305</v>
      </c>
      <c r="B100" s="7" t="s">
        <v>91</v>
      </c>
      <c r="C100" s="8">
        <v>46028</v>
      </c>
      <c r="D100" s="8">
        <v>46029</v>
      </c>
      <c r="E100" s="7" t="s">
        <v>21</v>
      </c>
      <c r="F100" s="7" t="s">
        <v>30</v>
      </c>
      <c r="G100" s="7" t="s">
        <v>126</v>
      </c>
      <c r="H100" s="9" t="s">
        <v>412</v>
      </c>
      <c r="I100" s="7" t="s">
        <v>413</v>
      </c>
      <c r="J100" s="7" t="s">
        <v>42</v>
      </c>
      <c r="K100" s="10">
        <v>750</v>
      </c>
      <c r="L100" s="10">
        <v>746.49</v>
      </c>
      <c r="M100" s="10">
        <v>350</v>
      </c>
      <c r="N100" s="11">
        <f>(Table1[[#This Row],[NTE Approved ]]-Table1[[#This Row],[Cost]])/Table1[[#This Row],[Cost]]</f>
        <v>1.1328285714285715</v>
      </c>
      <c r="O100" s="9" t="s">
        <v>414</v>
      </c>
      <c r="P100" s="7" t="s">
        <v>28</v>
      </c>
      <c r="Q100" s="8"/>
      <c r="T100" s="8"/>
    </row>
    <row r="101" spans="1:153" s="7" customFormat="1" ht="27" customHeight="1" x14ac:dyDescent="0.3">
      <c r="A101" s="7">
        <v>337328449</v>
      </c>
      <c r="B101" s="7" t="s">
        <v>163</v>
      </c>
      <c r="C101" s="8">
        <v>46029</v>
      </c>
      <c r="D101" s="8">
        <v>46031</v>
      </c>
      <c r="E101" s="7" t="s">
        <v>21</v>
      </c>
      <c r="F101" s="7" t="s">
        <v>30</v>
      </c>
      <c r="G101" s="7" t="s">
        <v>415</v>
      </c>
      <c r="H101" s="9" t="s">
        <v>211</v>
      </c>
      <c r="I101" s="7" t="s">
        <v>341</v>
      </c>
      <c r="J101" s="7" t="s">
        <v>195</v>
      </c>
      <c r="K101" s="10">
        <v>750</v>
      </c>
      <c r="L101" s="10">
        <v>434.51</v>
      </c>
      <c r="M101" s="10">
        <v>25</v>
      </c>
      <c r="N101" s="11">
        <f>(Table1[[#This Row],[NTE Approved ]]-Table1[[#This Row],[Cost]])/Table1[[#This Row],[Cost]]</f>
        <v>16.380399999999998</v>
      </c>
      <c r="O101" s="9" t="s">
        <v>416</v>
      </c>
      <c r="P101" s="7" t="s">
        <v>28</v>
      </c>
      <c r="Q101" s="8"/>
      <c r="T101" s="8"/>
    </row>
    <row r="102" spans="1:153" s="7" customFormat="1" ht="27" customHeight="1" x14ac:dyDescent="0.3">
      <c r="A102" s="7">
        <v>337443114</v>
      </c>
      <c r="B102" s="7" t="s">
        <v>91</v>
      </c>
      <c r="C102" s="8">
        <v>46031</v>
      </c>
      <c r="D102" s="8">
        <v>46038</v>
      </c>
      <c r="E102" s="7" t="s">
        <v>21</v>
      </c>
      <c r="F102" s="7" t="s">
        <v>22</v>
      </c>
      <c r="G102" s="7" t="s">
        <v>336</v>
      </c>
      <c r="H102" s="9" t="s">
        <v>417</v>
      </c>
      <c r="I102" s="7" t="s">
        <v>418</v>
      </c>
      <c r="J102" s="7" t="s">
        <v>104</v>
      </c>
      <c r="K102" s="10">
        <v>750</v>
      </c>
      <c r="L102" s="10">
        <v>434.57</v>
      </c>
      <c r="M102" s="10">
        <v>200</v>
      </c>
      <c r="N102" s="11">
        <f>(Table1[[#This Row],[NTE Approved ]]-Table1[[#This Row],[Cost]])/Table1[[#This Row],[Cost]]</f>
        <v>1.1728499999999999</v>
      </c>
      <c r="O102" s="9" t="s">
        <v>419</v>
      </c>
      <c r="P102" s="7" t="s">
        <v>28</v>
      </c>
      <c r="Q102" s="8"/>
      <c r="T102" s="8"/>
    </row>
    <row r="103" spans="1:153" s="7" customFormat="1" ht="27" customHeight="1" x14ac:dyDescent="0.3">
      <c r="A103" s="7">
        <v>335639115</v>
      </c>
      <c r="B103" s="7" t="s">
        <v>20</v>
      </c>
      <c r="C103" s="8">
        <v>46013</v>
      </c>
      <c r="D103" s="8">
        <v>46014</v>
      </c>
      <c r="E103" s="7" t="s">
        <v>21</v>
      </c>
      <c r="F103" s="7" t="s">
        <v>22</v>
      </c>
      <c r="G103" s="7" t="s">
        <v>224</v>
      </c>
      <c r="H103" s="9" t="s">
        <v>319</v>
      </c>
      <c r="I103" s="7" t="s">
        <v>420</v>
      </c>
      <c r="J103" s="7" t="s">
        <v>49</v>
      </c>
      <c r="K103" s="10">
        <v>750</v>
      </c>
      <c r="L103" s="10">
        <v>3809.2</v>
      </c>
      <c r="M103" s="10">
        <v>1950</v>
      </c>
      <c r="N103" s="11">
        <f>(Table1[[#This Row],[NTE Approved ]]-Table1[[#This Row],[Cost]])/Table1[[#This Row],[Cost]]</f>
        <v>0.95343589743589729</v>
      </c>
      <c r="O103" s="9" t="s">
        <v>421</v>
      </c>
      <c r="P103" s="7" t="s">
        <v>28</v>
      </c>
      <c r="Q103" s="8">
        <v>46024</v>
      </c>
      <c r="R103" s="7" t="s">
        <v>68</v>
      </c>
      <c r="T103" s="8"/>
    </row>
    <row r="104" spans="1:153" s="7" customFormat="1" ht="27" customHeight="1" x14ac:dyDescent="0.3">
      <c r="A104" s="7">
        <v>338000707</v>
      </c>
      <c r="B104" s="7" t="s">
        <v>125</v>
      </c>
      <c r="C104" s="8">
        <v>46036</v>
      </c>
      <c r="D104" s="8">
        <v>46036</v>
      </c>
      <c r="E104" s="7" t="s">
        <v>21</v>
      </c>
      <c r="F104" s="7" t="s">
        <v>59</v>
      </c>
      <c r="G104" s="7" t="s">
        <v>237</v>
      </c>
      <c r="H104" s="9" t="s">
        <v>280</v>
      </c>
      <c r="I104" s="7" t="s">
        <v>281</v>
      </c>
      <c r="J104" s="7" t="s">
        <v>63</v>
      </c>
      <c r="K104" s="10">
        <v>750</v>
      </c>
      <c r="L104" s="10">
        <v>747.28</v>
      </c>
      <c r="M104" s="10">
        <v>425</v>
      </c>
      <c r="N104" s="11">
        <f>(Table1[[#This Row],[NTE Approved ]]-Table1[[#This Row],[Cost]])/Table1[[#This Row],[Cost]]</f>
        <v>0.75830588235294116</v>
      </c>
      <c r="O104" s="9" t="s">
        <v>422</v>
      </c>
      <c r="P104" s="7" t="s">
        <v>28</v>
      </c>
      <c r="Q104" s="8"/>
      <c r="T104" s="8"/>
    </row>
    <row r="105" spans="1:153" s="7" customFormat="1" ht="27" customHeight="1" x14ac:dyDescent="0.3">
      <c r="A105" s="7">
        <v>337189195</v>
      </c>
      <c r="B105" s="7" t="s">
        <v>295</v>
      </c>
      <c r="C105" s="8">
        <v>46036</v>
      </c>
      <c r="D105" s="8">
        <v>46037</v>
      </c>
      <c r="E105" s="7" t="s">
        <v>21</v>
      </c>
      <c r="F105" s="7" t="s">
        <v>22</v>
      </c>
      <c r="G105" s="7" t="s">
        <v>423</v>
      </c>
      <c r="H105" s="9" t="s">
        <v>424</v>
      </c>
      <c r="I105" s="7" t="s">
        <v>425</v>
      </c>
      <c r="J105" s="7" t="s">
        <v>206</v>
      </c>
      <c r="K105" s="10">
        <v>500</v>
      </c>
      <c r="L105" s="10">
        <v>344.29</v>
      </c>
      <c r="M105" s="10">
        <v>150</v>
      </c>
      <c r="N105" s="11">
        <f>(Table1[[#This Row],[NTE Approved ]]-Table1[[#This Row],[Cost]])/Table1[[#This Row],[Cost]]</f>
        <v>1.2952666666666668</v>
      </c>
      <c r="O105" s="9" t="s">
        <v>426</v>
      </c>
      <c r="P105" s="7" t="s">
        <v>28</v>
      </c>
      <c r="Q105" s="8"/>
      <c r="T105" s="8"/>
    </row>
    <row r="106" spans="1:153" s="7" customFormat="1" ht="27" customHeight="1" x14ac:dyDescent="0.3">
      <c r="A106" s="7">
        <v>338082511</v>
      </c>
      <c r="B106" s="7" t="s">
        <v>20</v>
      </c>
      <c r="C106" s="8">
        <v>46037</v>
      </c>
      <c r="D106" s="8">
        <v>46037</v>
      </c>
      <c r="E106" s="7" t="s">
        <v>21</v>
      </c>
      <c r="F106" s="7" t="s">
        <v>45</v>
      </c>
      <c r="G106" s="7" t="s">
        <v>46</v>
      </c>
      <c r="H106" s="9" t="s">
        <v>427</v>
      </c>
      <c r="I106" s="7" t="s">
        <v>428</v>
      </c>
      <c r="J106" s="7" t="s">
        <v>56</v>
      </c>
      <c r="K106" s="10">
        <v>750</v>
      </c>
      <c r="L106" s="10">
        <v>355.39</v>
      </c>
      <c r="M106" s="10">
        <v>100</v>
      </c>
      <c r="N106" s="11">
        <f>(Table1[[#This Row],[NTE Approved ]]-Table1[[#This Row],[Cost]])/Table1[[#This Row],[Cost]]</f>
        <v>2.5539000000000001</v>
      </c>
      <c r="O106" s="9" t="s">
        <v>429</v>
      </c>
      <c r="P106" s="7" t="s">
        <v>28</v>
      </c>
      <c r="Q106" s="8"/>
      <c r="T106" s="8"/>
    </row>
    <row r="107" spans="1:153" s="7" customFormat="1" ht="27" customHeight="1" x14ac:dyDescent="0.3">
      <c r="A107" s="7">
        <v>337998075</v>
      </c>
      <c r="B107" s="7" t="s">
        <v>73</v>
      </c>
      <c r="C107" s="8">
        <v>46038</v>
      </c>
      <c r="D107" s="8">
        <v>46041</v>
      </c>
      <c r="E107" s="7" t="s">
        <v>21</v>
      </c>
      <c r="F107" s="7" t="s">
        <v>38</v>
      </c>
      <c r="G107" s="7" t="s">
        <v>430</v>
      </c>
      <c r="H107" s="9" t="s">
        <v>424</v>
      </c>
      <c r="I107" s="7" t="s">
        <v>425</v>
      </c>
      <c r="J107" s="7" t="s">
        <v>206</v>
      </c>
      <c r="K107" s="10">
        <v>500</v>
      </c>
      <c r="L107" s="10">
        <v>495.92</v>
      </c>
      <c r="M107" s="10">
        <v>300</v>
      </c>
      <c r="N107" s="11">
        <f>(Table1[[#This Row],[NTE Approved ]]-Table1[[#This Row],[Cost]])/Table1[[#This Row],[Cost]]</f>
        <v>0.65306666666666668</v>
      </c>
      <c r="O107" s="9" t="s">
        <v>431</v>
      </c>
      <c r="P107" s="7" t="s">
        <v>28</v>
      </c>
      <c r="Q107" s="8"/>
      <c r="T107" s="8"/>
    </row>
    <row r="108" spans="1:153" s="7" customFormat="1" ht="27" customHeight="1" x14ac:dyDescent="0.3">
      <c r="A108" s="7">
        <v>338136355</v>
      </c>
      <c r="B108" s="7" t="s">
        <v>20</v>
      </c>
      <c r="C108" s="8">
        <v>46038</v>
      </c>
      <c r="D108" s="8">
        <v>46038</v>
      </c>
      <c r="E108" s="7" t="s">
        <v>21</v>
      </c>
      <c r="F108" s="7" t="s">
        <v>59</v>
      </c>
      <c r="G108" s="7" t="s">
        <v>134</v>
      </c>
      <c r="H108" s="9" t="s">
        <v>406</v>
      </c>
      <c r="J108" s="7" t="s">
        <v>216</v>
      </c>
      <c r="K108" s="10"/>
      <c r="L108" s="10">
        <v>767.88</v>
      </c>
      <c r="M108" s="10">
        <v>425</v>
      </c>
      <c r="N108" s="11">
        <f>(Table1[[#This Row],[NTE Approved ]]-Table1[[#This Row],[Cost]])/Table1[[#This Row],[Cost]]</f>
        <v>0.80677647058823532</v>
      </c>
      <c r="O108" s="9" t="s">
        <v>432</v>
      </c>
      <c r="P108" s="7" t="s">
        <v>28</v>
      </c>
      <c r="Q108" s="8"/>
      <c r="T108" s="8"/>
    </row>
    <row r="109" spans="1:153" s="7" customFormat="1" ht="27" customHeight="1" x14ac:dyDescent="0.3">
      <c r="A109" s="7">
        <v>335771890</v>
      </c>
      <c r="B109" s="7" t="s">
        <v>29</v>
      </c>
      <c r="C109" s="8">
        <v>46013</v>
      </c>
      <c r="D109" s="8">
        <v>46020</v>
      </c>
      <c r="E109" s="7" t="s">
        <v>21</v>
      </c>
      <c r="F109" s="7" t="s">
        <v>38</v>
      </c>
      <c r="G109" s="7" t="s">
        <v>433</v>
      </c>
      <c r="H109" s="9" t="s">
        <v>434</v>
      </c>
      <c r="I109" s="7" t="s">
        <v>435</v>
      </c>
      <c r="J109" s="7" t="s">
        <v>56</v>
      </c>
      <c r="K109" s="10">
        <v>250</v>
      </c>
      <c r="L109" s="10">
        <v>885.1</v>
      </c>
      <c r="M109" s="10">
        <v>325</v>
      </c>
      <c r="N109" s="11">
        <f>(Table1[[#This Row],[NTE Approved ]]-Table1[[#This Row],[Cost]])/Table1[[#This Row],[Cost]]</f>
        <v>1.7233846153846155</v>
      </c>
      <c r="O109" s="9" t="s">
        <v>436</v>
      </c>
      <c r="P109" s="7" t="s">
        <v>28</v>
      </c>
      <c r="Q109" s="8"/>
      <c r="T109" s="8"/>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c r="EW109" s="9"/>
    </row>
    <row r="110" spans="1:153" s="9" customFormat="1" ht="27" customHeight="1" x14ac:dyDescent="0.3">
      <c r="A110" s="9">
        <v>338124459</v>
      </c>
      <c r="B110" s="9" t="s">
        <v>91</v>
      </c>
      <c r="C110" s="13">
        <v>46037</v>
      </c>
      <c r="D110" s="13">
        <v>46038</v>
      </c>
      <c r="E110" s="9" t="s">
        <v>21</v>
      </c>
      <c r="F110" s="9" t="s">
        <v>38</v>
      </c>
      <c r="G110" s="9" t="s">
        <v>86</v>
      </c>
      <c r="H110" s="9" t="s">
        <v>437</v>
      </c>
      <c r="I110" s="9" t="s">
        <v>438</v>
      </c>
      <c r="J110" s="9" t="s">
        <v>42</v>
      </c>
      <c r="K110" s="14">
        <v>750</v>
      </c>
      <c r="L110" s="14">
        <v>345.57</v>
      </c>
      <c r="M110" s="14">
        <v>150</v>
      </c>
      <c r="N110" s="11">
        <f>(Table1[[#This Row],[NTE Approved ]]-Table1[[#This Row],[Cost]])/Table1[[#This Row],[Cost]]</f>
        <v>1.3037999999999998</v>
      </c>
      <c r="O110" s="9" t="s">
        <v>439</v>
      </c>
      <c r="P110" s="9" t="s">
        <v>28</v>
      </c>
      <c r="Q110" s="13"/>
      <c r="T110" s="8"/>
    </row>
    <row r="111" spans="1:153" s="9" customFormat="1" ht="27" customHeight="1" x14ac:dyDescent="0.3">
      <c r="A111" s="9">
        <v>337531912</v>
      </c>
      <c r="B111" s="9" t="s">
        <v>91</v>
      </c>
      <c r="C111" s="13">
        <v>46031</v>
      </c>
      <c r="D111" s="13">
        <v>46033</v>
      </c>
      <c r="E111" s="9" t="s">
        <v>21</v>
      </c>
      <c r="F111" s="9" t="s">
        <v>59</v>
      </c>
      <c r="G111" s="9" t="s">
        <v>138</v>
      </c>
      <c r="H111" s="9" t="s">
        <v>440</v>
      </c>
      <c r="I111" s="9" t="s">
        <v>441</v>
      </c>
      <c r="J111" s="9" t="s">
        <v>63</v>
      </c>
      <c r="K111" s="14">
        <v>500</v>
      </c>
      <c r="L111" s="14">
        <v>1173.01</v>
      </c>
      <c r="M111" s="14">
        <v>650</v>
      </c>
      <c r="N111" s="11">
        <f>(Table1[[#This Row],[NTE Approved ]]-Table1[[#This Row],[Cost]])/Table1[[#This Row],[Cost]]</f>
        <v>0.80463076923076926</v>
      </c>
      <c r="O111" s="9" t="s">
        <v>442</v>
      </c>
      <c r="P111" s="9" t="s">
        <v>28</v>
      </c>
      <c r="Q111" s="13"/>
      <c r="T111" s="8"/>
    </row>
    <row r="112" spans="1:153" s="9" customFormat="1" ht="27" customHeight="1" x14ac:dyDescent="0.3">
      <c r="A112" s="9">
        <v>337646592</v>
      </c>
      <c r="B112" s="9" t="s">
        <v>20</v>
      </c>
      <c r="C112" s="13">
        <v>46036</v>
      </c>
      <c r="D112" s="13">
        <v>46041</v>
      </c>
      <c r="E112" s="9" t="s">
        <v>21</v>
      </c>
      <c r="F112" s="9" t="s">
        <v>38</v>
      </c>
      <c r="G112" s="9" t="s">
        <v>430</v>
      </c>
      <c r="H112" s="9" t="s">
        <v>443</v>
      </c>
      <c r="I112" s="9" t="s">
        <v>444</v>
      </c>
      <c r="J112" s="9" t="s">
        <v>56</v>
      </c>
      <c r="K112" s="14">
        <v>500</v>
      </c>
      <c r="L112" s="14">
        <v>770</v>
      </c>
      <c r="M112" s="14">
        <v>440</v>
      </c>
      <c r="N112" s="11">
        <f>(Table1[[#This Row],[NTE Approved ]]-Table1[[#This Row],[Cost]])/Table1[[#This Row],[Cost]]</f>
        <v>0.75</v>
      </c>
      <c r="O112" s="9" t="s">
        <v>445</v>
      </c>
      <c r="P112" s="9" t="s">
        <v>28</v>
      </c>
      <c r="Q112" s="13"/>
      <c r="T112" s="8"/>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c r="DO112" s="17"/>
      <c r="DP112" s="17"/>
      <c r="DQ112" s="17"/>
      <c r="DR112" s="17"/>
      <c r="DS112" s="17"/>
      <c r="DT112" s="17"/>
      <c r="DU112" s="17"/>
      <c r="DV112" s="17"/>
      <c r="DW112" s="17"/>
      <c r="DX112" s="17"/>
      <c r="DY112" s="17"/>
      <c r="DZ112" s="17"/>
      <c r="EA112" s="17"/>
      <c r="EB112" s="17"/>
      <c r="EC112" s="17"/>
      <c r="ED112" s="17"/>
      <c r="EE112" s="17"/>
      <c r="EF112" s="17"/>
      <c r="EG112" s="17"/>
      <c r="EH112" s="17"/>
      <c r="EI112" s="17"/>
      <c r="EJ112" s="17"/>
      <c r="EK112" s="17"/>
      <c r="EL112" s="17"/>
      <c r="EM112" s="17"/>
      <c r="EN112" s="17"/>
      <c r="EO112" s="17"/>
      <c r="EP112" s="17"/>
      <c r="EQ112" s="17"/>
      <c r="ER112" s="17"/>
      <c r="ES112" s="17"/>
      <c r="ET112" s="17"/>
      <c r="EU112" s="17"/>
      <c r="EV112" s="17"/>
      <c r="EW112" s="17"/>
    </row>
    <row r="113" spans="1:153" s="17" customFormat="1" ht="27" customHeight="1" x14ac:dyDescent="0.3">
      <c r="A113" s="9">
        <v>332762103</v>
      </c>
      <c r="B113" s="9" t="s">
        <v>91</v>
      </c>
      <c r="C113" s="13">
        <v>45985</v>
      </c>
      <c r="D113" s="13">
        <v>45985</v>
      </c>
      <c r="E113" s="9" t="s">
        <v>21</v>
      </c>
      <c r="F113" s="9" t="s">
        <v>59</v>
      </c>
      <c r="G113" s="9" t="s">
        <v>164</v>
      </c>
      <c r="H113" s="9" t="s">
        <v>446</v>
      </c>
      <c r="I113" s="9" t="s">
        <v>447</v>
      </c>
      <c r="J113" s="9" t="s">
        <v>42</v>
      </c>
      <c r="K113" s="14">
        <v>800</v>
      </c>
      <c r="L113" s="14">
        <v>1533.95</v>
      </c>
      <c r="M113" s="19">
        <v>800</v>
      </c>
      <c r="N113" s="11">
        <f>(Table1[[#This Row],[NTE Approved ]]-Table1[[#This Row],[Cost]])/Table1[[#This Row],[Cost]]</f>
        <v>0.91743750000000002</v>
      </c>
      <c r="O113" s="9" t="s">
        <v>448</v>
      </c>
      <c r="P113" s="17" t="s">
        <v>28</v>
      </c>
      <c r="Q113" s="18"/>
      <c r="R113" s="17" t="s">
        <v>449</v>
      </c>
      <c r="T113" s="8"/>
    </row>
    <row r="114" spans="1:153" s="17" customFormat="1" ht="27" customHeight="1" x14ac:dyDescent="0.3">
      <c r="A114" s="9">
        <v>336219209</v>
      </c>
      <c r="B114" s="9" t="s">
        <v>295</v>
      </c>
      <c r="C114" s="13">
        <v>46031</v>
      </c>
      <c r="D114" s="13">
        <v>46037</v>
      </c>
      <c r="E114" s="9" t="s">
        <v>21</v>
      </c>
      <c r="F114" s="9" t="s">
        <v>22</v>
      </c>
      <c r="G114" s="9" t="s">
        <v>450</v>
      </c>
      <c r="H114" s="9" t="s">
        <v>70</v>
      </c>
      <c r="I114" s="9" t="s">
        <v>451</v>
      </c>
      <c r="J114" s="9" t="s">
        <v>49</v>
      </c>
      <c r="K114" s="14">
        <v>450</v>
      </c>
      <c r="L114" s="14">
        <v>287.26</v>
      </c>
      <c r="M114" s="19">
        <v>130</v>
      </c>
      <c r="N114" s="11">
        <f>(Table1[[#This Row],[NTE Approved ]]-Table1[[#This Row],[Cost]])/Table1[[#This Row],[Cost]]</f>
        <v>1.2096923076923076</v>
      </c>
      <c r="O114" s="9" t="s">
        <v>452</v>
      </c>
      <c r="P114" s="17" t="s">
        <v>28</v>
      </c>
      <c r="Q114" s="18"/>
      <c r="T114" s="8"/>
    </row>
    <row r="115" spans="1:153" s="17" customFormat="1" ht="27" customHeight="1" x14ac:dyDescent="0.3">
      <c r="A115" s="9">
        <v>337596146</v>
      </c>
      <c r="B115" s="9" t="s">
        <v>91</v>
      </c>
      <c r="C115" s="13">
        <v>46031</v>
      </c>
      <c r="D115" s="13">
        <v>46034</v>
      </c>
      <c r="E115" s="9" t="s">
        <v>21</v>
      </c>
      <c r="F115" s="9" t="s">
        <v>22</v>
      </c>
      <c r="G115" s="9" t="s">
        <v>453</v>
      </c>
      <c r="H115" s="9" t="s">
        <v>454</v>
      </c>
      <c r="I115" s="9" t="s">
        <v>455</v>
      </c>
      <c r="J115" s="9" t="s">
        <v>34</v>
      </c>
      <c r="K115" s="14">
        <v>750</v>
      </c>
      <c r="L115" s="14">
        <v>382.86</v>
      </c>
      <c r="M115" s="19">
        <v>200</v>
      </c>
      <c r="N115" s="11">
        <f>(Table1[[#This Row],[NTE Approved ]]-Table1[[#This Row],[Cost]])/Table1[[#This Row],[Cost]]</f>
        <v>0.91430000000000011</v>
      </c>
      <c r="O115" s="9" t="s">
        <v>456</v>
      </c>
      <c r="P115" s="17" t="s">
        <v>28</v>
      </c>
      <c r="Q115" s="18"/>
      <c r="T115" s="8"/>
    </row>
    <row r="116" spans="1:153" s="17" customFormat="1" ht="27" customHeight="1" x14ac:dyDescent="0.3">
      <c r="A116" s="9">
        <v>336418720</v>
      </c>
      <c r="B116" s="9" t="s">
        <v>91</v>
      </c>
      <c r="C116" s="13">
        <v>46021</v>
      </c>
      <c r="D116" s="13">
        <v>46021</v>
      </c>
      <c r="E116" s="9" t="s">
        <v>21</v>
      </c>
      <c r="F116" s="9" t="s">
        <v>22</v>
      </c>
      <c r="G116" s="9" t="s">
        <v>423</v>
      </c>
      <c r="H116" s="9" t="s">
        <v>457</v>
      </c>
      <c r="I116" s="9" t="s">
        <v>458</v>
      </c>
      <c r="J116" s="9" t="s">
        <v>235</v>
      </c>
      <c r="K116" s="14">
        <v>750</v>
      </c>
      <c r="L116" s="14">
        <v>255</v>
      </c>
      <c r="M116" s="19">
        <v>50</v>
      </c>
      <c r="N116" s="11">
        <f>(Table1[[#This Row],[NTE Approved ]]-Table1[[#This Row],[Cost]])/Table1[[#This Row],[Cost]]</f>
        <v>4.0999999999999996</v>
      </c>
      <c r="O116" s="9" t="s">
        <v>459</v>
      </c>
      <c r="P116" s="17" t="s">
        <v>28</v>
      </c>
      <c r="Q116" s="18"/>
      <c r="R116" s="17" t="s">
        <v>68</v>
      </c>
      <c r="T116" s="8"/>
    </row>
    <row r="117" spans="1:153" s="17" customFormat="1" ht="27" customHeight="1" x14ac:dyDescent="0.3">
      <c r="A117" s="9">
        <v>337333986</v>
      </c>
      <c r="B117" s="9" t="s">
        <v>73</v>
      </c>
      <c r="C117" s="13">
        <v>46029</v>
      </c>
      <c r="D117" s="13">
        <v>46029</v>
      </c>
      <c r="E117" s="9" t="s">
        <v>21</v>
      </c>
      <c r="F117" s="9" t="s">
        <v>30</v>
      </c>
      <c r="G117" s="9" t="s">
        <v>126</v>
      </c>
      <c r="H117" s="9" t="s">
        <v>460</v>
      </c>
      <c r="I117" s="9" t="s">
        <v>461</v>
      </c>
      <c r="J117" s="9" t="s">
        <v>339</v>
      </c>
      <c r="K117" s="14">
        <v>1000</v>
      </c>
      <c r="L117" s="14">
        <v>474.75</v>
      </c>
      <c r="M117" s="19">
        <v>50</v>
      </c>
      <c r="N117" s="11">
        <f>(Table1[[#This Row],[NTE Approved ]]-Table1[[#This Row],[Cost]])/Table1[[#This Row],[Cost]]</f>
        <v>8.4949999999999992</v>
      </c>
      <c r="O117" s="9" t="s">
        <v>462</v>
      </c>
      <c r="P117" s="17" t="s">
        <v>28</v>
      </c>
      <c r="Q117" s="18"/>
      <c r="T117" s="8"/>
    </row>
    <row r="118" spans="1:153" s="17" customFormat="1" ht="27" customHeight="1" x14ac:dyDescent="0.3">
      <c r="A118" s="9">
        <v>337210164</v>
      </c>
      <c r="B118" s="9" t="s">
        <v>73</v>
      </c>
      <c r="C118" s="13">
        <v>46034</v>
      </c>
      <c r="D118" s="13">
        <v>46036</v>
      </c>
      <c r="E118" s="9" t="s">
        <v>21</v>
      </c>
      <c r="F118" s="9" t="s">
        <v>38</v>
      </c>
      <c r="G118" s="9" t="s">
        <v>463</v>
      </c>
      <c r="H118" s="9" t="s">
        <v>464</v>
      </c>
      <c r="I118" s="9" t="s">
        <v>140</v>
      </c>
      <c r="J118" s="9" t="s">
        <v>216</v>
      </c>
      <c r="K118" s="14">
        <v>500</v>
      </c>
      <c r="L118" s="14">
        <v>1515.6</v>
      </c>
      <c r="M118" s="19">
        <v>865</v>
      </c>
      <c r="N118" s="11">
        <f>(Table1[[#This Row],[NTE Approved ]]-Table1[[#This Row],[Cost]])/Table1[[#This Row],[Cost]]</f>
        <v>0.75213872832369932</v>
      </c>
      <c r="O118" s="9" t="s">
        <v>465</v>
      </c>
      <c r="P118" s="17" t="s">
        <v>28</v>
      </c>
      <c r="Q118" s="18"/>
      <c r="T118" s="8"/>
    </row>
    <row r="119" spans="1:153" s="17" customFormat="1" ht="27" customHeight="1" x14ac:dyDescent="0.3">
      <c r="A119" s="9">
        <v>337525505</v>
      </c>
      <c r="B119" s="9" t="s">
        <v>29</v>
      </c>
      <c r="C119" s="13">
        <v>46036</v>
      </c>
      <c r="D119" s="13">
        <v>46041</v>
      </c>
      <c r="E119" s="9" t="s">
        <v>21</v>
      </c>
      <c r="F119" s="9" t="s">
        <v>22</v>
      </c>
      <c r="G119" s="9" t="s">
        <v>466</v>
      </c>
      <c r="H119" s="9" t="s">
        <v>467</v>
      </c>
      <c r="I119" s="9" t="s">
        <v>468</v>
      </c>
      <c r="J119" s="9" t="s">
        <v>206</v>
      </c>
      <c r="K119" s="14">
        <v>250</v>
      </c>
      <c r="L119" s="14">
        <v>250</v>
      </c>
      <c r="M119" s="19">
        <v>250</v>
      </c>
      <c r="N119" s="11">
        <f>(Table1[[#This Row],[NTE Approved ]]-Table1[[#This Row],[Cost]])/Table1[[#This Row],[Cost]]</f>
        <v>0</v>
      </c>
      <c r="O119" s="17" t="s">
        <v>469</v>
      </c>
      <c r="P119" s="17" t="s">
        <v>28</v>
      </c>
      <c r="Q119" s="18"/>
      <c r="R119" s="17" t="s">
        <v>68</v>
      </c>
      <c r="T119" s="8"/>
    </row>
    <row r="120" spans="1:153" s="17" customFormat="1" ht="27" customHeight="1" x14ac:dyDescent="0.3">
      <c r="A120" s="9">
        <v>338012733</v>
      </c>
      <c r="B120" s="9" t="s">
        <v>73</v>
      </c>
      <c r="C120" s="13">
        <v>46041</v>
      </c>
      <c r="D120" s="13">
        <v>46042</v>
      </c>
      <c r="E120" s="9" t="s">
        <v>21</v>
      </c>
      <c r="F120" s="9" t="s">
        <v>22</v>
      </c>
      <c r="G120" s="9" t="s">
        <v>453</v>
      </c>
      <c r="H120" s="9" t="s">
        <v>470</v>
      </c>
      <c r="I120" s="9" t="s">
        <v>242</v>
      </c>
      <c r="J120" s="9" t="s">
        <v>195</v>
      </c>
      <c r="K120" s="14">
        <v>700</v>
      </c>
      <c r="L120" s="14">
        <v>391.5</v>
      </c>
      <c r="M120" s="19">
        <v>175</v>
      </c>
      <c r="N120" s="11">
        <f>(Table1[[#This Row],[NTE Approved ]]-Table1[[#This Row],[Cost]])/Table1[[#This Row],[Cost]]</f>
        <v>1.2371428571428571</v>
      </c>
      <c r="O120" s="17" t="s">
        <v>471</v>
      </c>
      <c r="P120" s="17" t="s">
        <v>28</v>
      </c>
      <c r="Q120" s="18"/>
      <c r="T120" s="8"/>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9"/>
      <c r="ES120" s="9"/>
      <c r="ET120" s="9"/>
      <c r="EU120" s="9"/>
      <c r="EV120" s="9"/>
      <c r="EW120" s="9"/>
    </row>
    <row r="121" spans="1:153" s="9" customFormat="1" ht="27" customHeight="1" x14ac:dyDescent="0.3">
      <c r="A121" s="9">
        <v>335349131</v>
      </c>
      <c r="B121" s="9" t="s">
        <v>91</v>
      </c>
      <c r="C121" s="13">
        <v>46009</v>
      </c>
      <c r="D121" s="13">
        <v>46009</v>
      </c>
      <c r="E121" s="9" t="s">
        <v>21</v>
      </c>
      <c r="F121" s="9" t="s">
        <v>59</v>
      </c>
      <c r="G121" s="9" t="s">
        <v>472</v>
      </c>
      <c r="H121" s="9" t="s">
        <v>473</v>
      </c>
      <c r="I121" s="9" t="s">
        <v>474</v>
      </c>
      <c r="J121" s="9" t="s">
        <v>42</v>
      </c>
      <c r="K121" s="14">
        <v>700</v>
      </c>
      <c r="L121" s="14">
        <v>998.97</v>
      </c>
      <c r="M121" s="14">
        <v>543</v>
      </c>
      <c r="N121" s="11">
        <f>(Table1[[#This Row],[NTE Approved ]]-Table1[[#This Row],[Cost]])/Table1[[#This Row],[Cost]]</f>
        <v>0.83972375690607737</v>
      </c>
      <c r="O121" s="9" t="s">
        <v>475</v>
      </c>
      <c r="P121" s="9" t="s">
        <v>28</v>
      </c>
      <c r="Q121" s="13"/>
      <c r="T121" s="8"/>
    </row>
    <row r="122" spans="1:153" s="9" customFormat="1" ht="27" customHeight="1" x14ac:dyDescent="0.3">
      <c r="A122" s="9">
        <v>332550583</v>
      </c>
      <c r="B122" s="9" t="s">
        <v>91</v>
      </c>
      <c r="C122" s="13">
        <v>45981</v>
      </c>
      <c r="D122" s="13">
        <v>45982</v>
      </c>
      <c r="E122" s="9" t="s">
        <v>21</v>
      </c>
      <c r="F122" s="9" t="s">
        <v>59</v>
      </c>
      <c r="G122" s="9" t="s">
        <v>164</v>
      </c>
      <c r="H122" s="9" t="s">
        <v>476</v>
      </c>
      <c r="I122" s="9" t="s">
        <v>477</v>
      </c>
      <c r="J122" s="9" t="s">
        <v>42</v>
      </c>
      <c r="K122" s="14">
        <v>800</v>
      </c>
      <c r="L122" s="14">
        <v>1533.95</v>
      </c>
      <c r="M122" s="14">
        <v>800</v>
      </c>
      <c r="N122" s="11">
        <f>(Table1[[#This Row],[NTE Approved ]]-Table1[[#This Row],[Cost]])/Table1[[#This Row],[Cost]]</f>
        <v>0.91743750000000002</v>
      </c>
      <c r="O122" s="9" t="s">
        <v>478</v>
      </c>
      <c r="P122" s="9" t="s">
        <v>28</v>
      </c>
      <c r="Q122" s="13"/>
      <c r="T122" s="8"/>
    </row>
    <row r="123" spans="1:153" s="9" customFormat="1" ht="27" customHeight="1" x14ac:dyDescent="0.3">
      <c r="A123" s="9">
        <v>338540419</v>
      </c>
      <c r="B123" s="9" t="s">
        <v>91</v>
      </c>
      <c r="C123" s="13">
        <v>45981</v>
      </c>
      <c r="D123" s="13">
        <v>45983</v>
      </c>
      <c r="E123" s="9" t="s">
        <v>21</v>
      </c>
      <c r="F123" s="9" t="s">
        <v>38</v>
      </c>
      <c r="G123" s="9" t="s">
        <v>479</v>
      </c>
      <c r="H123" s="9" t="s">
        <v>480</v>
      </c>
      <c r="I123" s="9" t="s">
        <v>481</v>
      </c>
      <c r="J123" s="9" t="s">
        <v>100</v>
      </c>
      <c r="K123" s="14">
        <v>750</v>
      </c>
      <c r="L123" s="14">
        <v>424.59</v>
      </c>
      <c r="M123" s="14">
        <v>125</v>
      </c>
      <c r="N123" s="11">
        <f>(Table1[[#This Row],[NTE Approved ]]-Table1[[#This Row],[Cost]])/Table1[[#This Row],[Cost]]</f>
        <v>2.3967199999999997</v>
      </c>
      <c r="O123" s="9" t="s">
        <v>482</v>
      </c>
      <c r="P123" s="9" t="s">
        <v>28</v>
      </c>
      <c r="Q123" s="13"/>
      <c r="T123" s="8"/>
    </row>
    <row r="124" spans="1:153" s="9" customFormat="1" ht="27" customHeight="1" x14ac:dyDescent="0.3">
      <c r="A124" s="9">
        <v>336289620</v>
      </c>
      <c r="B124" s="9" t="s">
        <v>295</v>
      </c>
      <c r="C124" s="13">
        <v>46038</v>
      </c>
      <c r="D124" s="13">
        <v>46043</v>
      </c>
      <c r="E124" s="9" t="s">
        <v>21</v>
      </c>
      <c r="F124" s="9" t="s">
        <v>22</v>
      </c>
      <c r="G124" s="9" t="s">
        <v>423</v>
      </c>
      <c r="H124" s="9" t="s">
        <v>483</v>
      </c>
      <c r="I124" s="9" t="s">
        <v>484</v>
      </c>
      <c r="J124" s="9" t="s">
        <v>49</v>
      </c>
      <c r="K124" s="14">
        <v>550</v>
      </c>
      <c r="L124" s="14">
        <v>392.4</v>
      </c>
      <c r="M124" s="14">
        <v>120</v>
      </c>
      <c r="N124" s="11">
        <f>(Table1[[#This Row],[NTE Approved ]]-Table1[[#This Row],[Cost]])/Table1[[#This Row],[Cost]]</f>
        <v>2.27</v>
      </c>
      <c r="O124" s="9" t="s">
        <v>485</v>
      </c>
      <c r="P124" s="9" t="s">
        <v>28</v>
      </c>
      <c r="Q124" s="13"/>
      <c r="T124" s="8"/>
    </row>
    <row r="125" spans="1:153" s="9" customFormat="1" ht="27" customHeight="1" x14ac:dyDescent="0.3">
      <c r="A125" s="9">
        <v>338558649</v>
      </c>
      <c r="B125" s="9" t="s">
        <v>20</v>
      </c>
      <c r="C125" s="13">
        <v>46042</v>
      </c>
      <c r="D125" s="13">
        <v>46042</v>
      </c>
      <c r="E125" s="9" t="s">
        <v>21</v>
      </c>
      <c r="F125" s="9" t="s">
        <v>59</v>
      </c>
      <c r="G125" s="9" t="s">
        <v>138</v>
      </c>
      <c r="H125" s="9" t="s">
        <v>486</v>
      </c>
      <c r="I125" s="9" t="s">
        <v>487</v>
      </c>
      <c r="J125" s="9" t="s">
        <v>311</v>
      </c>
      <c r="K125" s="14">
        <v>800</v>
      </c>
      <c r="L125" s="14">
        <v>714</v>
      </c>
      <c r="M125" s="14">
        <v>410</v>
      </c>
      <c r="N125" s="11">
        <f>(Table1[[#This Row],[NTE Approved ]]-Table1[[#This Row],[Cost]])/Table1[[#This Row],[Cost]]</f>
        <v>0.74146341463414633</v>
      </c>
      <c r="O125" s="9" t="s">
        <v>488</v>
      </c>
      <c r="P125" s="9" t="s">
        <v>28</v>
      </c>
      <c r="Q125" s="13"/>
      <c r="T125" s="8"/>
    </row>
    <row r="126" spans="1:153" s="9" customFormat="1" ht="27" customHeight="1" x14ac:dyDescent="0.3">
      <c r="A126" s="9">
        <v>338548202</v>
      </c>
      <c r="B126" s="9" t="s">
        <v>163</v>
      </c>
      <c r="C126" s="13">
        <v>46042</v>
      </c>
      <c r="D126" s="13">
        <v>46044</v>
      </c>
      <c r="E126" s="9" t="s">
        <v>21</v>
      </c>
      <c r="F126" s="9" t="s">
        <v>22</v>
      </c>
      <c r="G126" s="9" t="s">
        <v>423</v>
      </c>
      <c r="H126" s="9" t="s">
        <v>489</v>
      </c>
      <c r="I126" s="9" t="s">
        <v>490</v>
      </c>
      <c r="J126" s="9" t="s">
        <v>104</v>
      </c>
      <c r="K126" s="14">
        <v>450</v>
      </c>
      <c r="L126" s="14">
        <v>289.51</v>
      </c>
      <c r="M126" s="14">
        <v>75</v>
      </c>
      <c r="N126" s="11">
        <f>(Table1[[#This Row],[NTE Approved ]]-Table1[[#This Row],[Cost]])/Table1[[#This Row],[Cost]]</f>
        <v>2.8601333333333332</v>
      </c>
      <c r="O126" s="9" t="s">
        <v>491</v>
      </c>
      <c r="P126" s="9" t="s">
        <v>28</v>
      </c>
      <c r="Q126" s="13"/>
      <c r="T126" s="8"/>
    </row>
    <row r="127" spans="1:153" s="9" customFormat="1" ht="27" customHeight="1" x14ac:dyDescent="0.3">
      <c r="A127" s="9">
        <v>338468515</v>
      </c>
      <c r="B127" s="9" t="s">
        <v>20</v>
      </c>
      <c r="C127" s="13">
        <v>46041</v>
      </c>
      <c r="D127" s="13">
        <v>46042</v>
      </c>
      <c r="E127" s="9" t="s">
        <v>21</v>
      </c>
      <c r="F127" s="9" t="s">
        <v>59</v>
      </c>
      <c r="G127" s="9" t="s">
        <v>472</v>
      </c>
      <c r="H127" s="9" t="s">
        <v>492</v>
      </c>
      <c r="I127" s="9" t="s">
        <v>493</v>
      </c>
      <c r="J127" s="9" t="s">
        <v>49</v>
      </c>
      <c r="K127" s="14">
        <v>550</v>
      </c>
      <c r="L127" s="14">
        <v>664.61</v>
      </c>
      <c r="M127" s="14">
        <v>391.84</v>
      </c>
      <c r="N127" s="11">
        <f>(Table1[[#This Row],[NTE Approved ]]-Table1[[#This Row],[Cost]])/Table1[[#This Row],[Cost]]</f>
        <v>0.69612596978358532</v>
      </c>
      <c r="O127" s="9" t="s">
        <v>494</v>
      </c>
      <c r="P127" s="9" t="s">
        <v>28</v>
      </c>
      <c r="Q127" s="13"/>
      <c r="T127" s="8"/>
    </row>
    <row r="128" spans="1:153" s="9" customFormat="1" ht="27" customHeight="1" x14ac:dyDescent="0.3">
      <c r="A128" s="9">
        <v>338558931</v>
      </c>
      <c r="B128" s="9" t="s">
        <v>29</v>
      </c>
      <c r="C128" s="13">
        <v>46042</v>
      </c>
      <c r="D128" s="13">
        <v>46042</v>
      </c>
      <c r="E128" s="9" t="s">
        <v>21</v>
      </c>
      <c r="F128" s="9" t="s">
        <v>59</v>
      </c>
      <c r="G128" s="9" t="s">
        <v>60</v>
      </c>
      <c r="H128" s="9" t="s">
        <v>495</v>
      </c>
      <c r="I128" s="9" t="s">
        <v>496</v>
      </c>
      <c r="J128" s="9" t="s">
        <v>132</v>
      </c>
      <c r="K128" s="14">
        <v>650</v>
      </c>
      <c r="L128" s="14">
        <v>455.85</v>
      </c>
      <c r="M128" s="14">
        <v>259</v>
      </c>
      <c r="N128" s="11">
        <f>(Table1[[#This Row],[NTE Approved ]]-Table1[[#This Row],[Cost]])/Table1[[#This Row],[Cost]]</f>
        <v>0.76003861003861017</v>
      </c>
      <c r="O128" s="9" t="s">
        <v>497</v>
      </c>
      <c r="P128" s="9" t="s">
        <v>28</v>
      </c>
      <c r="Q128" s="13"/>
      <c r="T128" s="8"/>
    </row>
    <row r="129" spans="1:153" s="9" customFormat="1" ht="27" customHeight="1" x14ac:dyDescent="0.3">
      <c r="A129" s="9">
        <v>335636334</v>
      </c>
      <c r="B129" s="9" t="s">
        <v>163</v>
      </c>
      <c r="C129" s="13">
        <v>46013</v>
      </c>
      <c r="D129" s="13">
        <v>46013</v>
      </c>
      <c r="E129" s="9" t="s">
        <v>21</v>
      </c>
      <c r="F129" s="9" t="s">
        <v>45</v>
      </c>
      <c r="G129" s="9" t="s">
        <v>46</v>
      </c>
      <c r="H129" s="9" t="s">
        <v>498</v>
      </c>
      <c r="I129" s="9" t="s">
        <v>499</v>
      </c>
      <c r="J129" s="9" t="s">
        <v>216</v>
      </c>
      <c r="K129" s="14">
        <v>750</v>
      </c>
      <c r="L129" s="14">
        <v>486</v>
      </c>
      <c r="M129" s="14">
        <v>175</v>
      </c>
      <c r="N129" s="11">
        <f>(Table1[[#This Row],[NTE Approved ]]-Table1[[#This Row],[Cost]])/Table1[[#This Row],[Cost]]</f>
        <v>1.7771428571428571</v>
      </c>
      <c r="O129" s="9" t="s">
        <v>500</v>
      </c>
      <c r="P129" s="9" t="s">
        <v>28</v>
      </c>
      <c r="Q129" s="13"/>
      <c r="T129" s="8"/>
    </row>
    <row r="130" spans="1:153" s="9" customFormat="1" ht="27" customHeight="1" x14ac:dyDescent="0.3">
      <c r="A130" s="9">
        <v>337458051</v>
      </c>
      <c r="B130" s="9" t="s">
        <v>91</v>
      </c>
      <c r="C130" s="13">
        <v>46031</v>
      </c>
      <c r="D130" s="13">
        <v>46038</v>
      </c>
      <c r="E130" s="9" t="s">
        <v>21</v>
      </c>
      <c r="F130" s="9" t="s">
        <v>22</v>
      </c>
      <c r="G130" s="9" t="s">
        <v>336</v>
      </c>
      <c r="H130" s="9" t="s">
        <v>501</v>
      </c>
      <c r="I130" s="9" t="s">
        <v>502</v>
      </c>
      <c r="J130" s="9" t="s">
        <v>104</v>
      </c>
      <c r="K130" s="14">
        <v>750</v>
      </c>
      <c r="L130" s="14">
        <v>3441.24</v>
      </c>
      <c r="M130" s="14">
        <v>1700</v>
      </c>
      <c r="N130" s="11">
        <f>(Table1[[#This Row],[NTE Approved ]]-Table1[[#This Row],[Cost]])/Table1[[#This Row],[Cost]]</f>
        <v>1.0242588235294117</v>
      </c>
      <c r="O130" s="9" t="s">
        <v>503</v>
      </c>
      <c r="P130" s="9" t="s">
        <v>28</v>
      </c>
      <c r="Q130" s="13"/>
      <c r="T130" s="8"/>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row>
    <row r="131" spans="1:153" s="7" customFormat="1" ht="27" customHeight="1" x14ac:dyDescent="0.3">
      <c r="A131" s="7">
        <v>338766294</v>
      </c>
      <c r="B131" s="7" t="s">
        <v>91</v>
      </c>
      <c r="C131" s="8">
        <v>46031</v>
      </c>
      <c r="D131" s="8">
        <v>46038</v>
      </c>
      <c r="E131" s="9" t="s">
        <v>21</v>
      </c>
      <c r="F131" s="7" t="s">
        <v>59</v>
      </c>
      <c r="G131" s="7" t="s">
        <v>504</v>
      </c>
      <c r="H131" s="9" t="s">
        <v>505</v>
      </c>
      <c r="I131" s="7" t="s">
        <v>506</v>
      </c>
      <c r="J131" s="7" t="s">
        <v>34</v>
      </c>
      <c r="K131" s="10">
        <v>500</v>
      </c>
      <c r="L131" s="10">
        <v>398.76</v>
      </c>
      <c r="M131" s="10">
        <v>220</v>
      </c>
      <c r="N131" s="11">
        <f>(Table1[[#This Row],[NTE Approved ]]-Table1[[#This Row],[Cost]])/Table1[[#This Row],[Cost]]</f>
        <v>0.81254545454545446</v>
      </c>
      <c r="O131" s="9" t="s">
        <v>507</v>
      </c>
      <c r="P131" s="7" t="s">
        <v>28</v>
      </c>
      <c r="Q131" s="8"/>
      <c r="T131" s="8"/>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row>
    <row r="132" spans="1:153" ht="27" customHeight="1" x14ac:dyDescent="0.3">
      <c r="A132" s="7">
        <v>338785867</v>
      </c>
      <c r="B132" s="7" t="s">
        <v>20</v>
      </c>
      <c r="C132" s="8">
        <v>46044</v>
      </c>
      <c r="D132" s="8">
        <v>46044</v>
      </c>
      <c r="E132" s="9" t="s">
        <v>21</v>
      </c>
      <c r="F132" s="7" t="s">
        <v>59</v>
      </c>
      <c r="G132" s="7" t="s">
        <v>508</v>
      </c>
      <c r="H132" s="9" t="s">
        <v>509</v>
      </c>
      <c r="I132" s="7" t="s">
        <v>510</v>
      </c>
      <c r="J132" s="7" t="s">
        <v>63</v>
      </c>
      <c r="K132" s="10">
        <v>250</v>
      </c>
      <c r="L132" s="10">
        <v>750.96</v>
      </c>
      <c r="M132" s="10">
        <v>425</v>
      </c>
      <c r="N132" s="11">
        <f>(Table1[[#This Row],[NTE Approved ]]-Table1[[#This Row],[Cost]])/Table1[[#This Row],[Cost]]</f>
        <v>0.76696470588235299</v>
      </c>
      <c r="O132" s="7" t="s">
        <v>511</v>
      </c>
      <c r="P132" s="7" t="s">
        <v>28</v>
      </c>
      <c r="Q132" s="8"/>
      <c r="R132" s="7"/>
      <c r="S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row>
    <row r="133" spans="1:153" s="7" customFormat="1" ht="27" customHeight="1" x14ac:dyDescent="0.3">
      <c r="A133" s="7">
        <v>338878858</v>
      </c>
      <c r="B133" s="7" t="s">
        <v>163</v>
      </c>
      <c r="C133" s="8">
        <v>46045</v>
      </c>
      <c r="D133" s="8">
        <v>46046</v>
      </c>
      <c r="E133" s="9" t="s">
        <v>21</v>
      </c>
      <c r="F133" s="7" t="s">
        <v>59</v>
      </c>
      <c r="G133" s="7" t="s">
        <v>60</v>
      </c>
      <c r="H133" s="9" t="s">
        <v>512</v>
      </c>
      <c r="I133" s="7" t="s">
        <v>513</v>
      </c>
      <c r="J133" s="7" t="s">
        <v>49</v>
      </c>
      <c r="K133" s="10">
        <v>550</v>
      </c>
      <c r="L133" s="10">
        <v>418.93</v>
      </c>
      <c r="M133" s="10">
        <v>220</v>
      </c>
      <c r="N133" s="11">
        <f>(Table1[[#This Row],[NTE Approved ]]-Table1[[#This Row],[Cost]])/Table1[[#This Row],[Cost]]</f>
        <v>0.90422727272727277</v>
      </c>
      <c r="O133" s="9" t="s">
        <v>514</v>
      </c>
      <c r="P133" s="7" t="s">
        <v>28</v>
      </c>
      <c r="Q133" s="8">
        <v>46042</v>
      </c>
      <c r="T133" s="8"/>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row>
    <row r="134" spans="1:153" ht="27" customHeight="1" x14ac:dyDescent="0.3">
      <c r="A134">
        <v>337594131</v>
      </c>
      <c r="B134" t="s">
        <v>20</v>
      </c>
      <c r="C134" s="1">
        <v>46031</v>
      </c>
      <c r="D134" s="1">
        <v>46038</v>
      </c>
      <c r="E134" s="9" t="s">
        <v>21</v>
      </c>
      <c r="F134" t="s">
        <v>38</v>
      </c>
      <c r="G134" t="s">
        <v>433</v>
      </c>
      <c r="H134" s="17" t="s">
        <v>515</v>
      </c>
      <c r="I134" s="17" t="s">
        <v>516</v>
      </c>
      <c r="J134" t="s">
        <v>56</v>
      </c>
      <c r="K134" s="2">
        <v>550</v>
      </c>
      <c r="L134" s="2">
        <v>2076.42</v>
      </c>
      <c r="M134" s="2">
        <v>1180</v>
      </c>
      <c r="N134" s="11">
        <f>(Table1[[#This Row],[NTE Approved ]]-Table1[[#This Row],[Cost]])/Table1[[#This Row],[Cost]]</f>
        <v>0.75967796610169502</v>
      </c>
      <c r="O134" t="s">
        <v>517</v>
      </c>
      <c r="P134" t="s">
        <v>28</v>
      </c>
      <c r="Q134" s="1">
        <v>46043</v>
      </c>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row>
    <row r="135" spans="1:153" s="7" customFormat="1" ht="27" customHeight="1" x14ac:dyDescent="0.3">
      <c r="A135" s="7">
        <v>333297841</v>
      </c>
      <c r="B135" s="7" t="s">
        <v>163</v>
      </c>
      <c r="C135" s="8">
        <v>45992</v>
      </c>
      <c r="D135" s="8">
        <v>45994</v>
      </c>
      <c r="E135" s="9" t="s">
        <v>21</v>
      </c>
      <c r="F135" s="7" t="s">
        <v>30</v>
      </c>
      <c r="G135" s="7" t="s">
        <v>126</v>
      </c>
      <c r="H135" s="9" t="s">
        <v>518</v>
      </c>
      <c r="I135" s="7" t="s">
        <v>519</v>
      </c>
      <c r="J135" s="7" t="s">
        <v>206</v>
      </c>
      <c r="K135" s="10">
        <v>500</v>
      </c>
      <c r="L135" s="10">
        <v>1978.1</v>
      </c>
      <c r="M135" s="10">
        <v>1130</v>
      </c>
      <c r="N135" s="11">
        <f>(Table1[[#This Row],[NTE Approved ]]-Table1[[#This Row],[Cost]])/Table1[[#This Row],[Cost]]</f>
        <v>0.75053097345132735</v>
      </c>
      <c r="O135" s="9" t="s">
        <v>520</v>
      </c>
      <c r="P135" s="7" t="s">
        <v>28</v>
      </c>
      <c r="Q135" s="8">
        <v>46042</v>
      </c>
      <c r="T135" s="8"/>
    </row>
    <row r="136" spans="1:153" s="7" customFormat="1" ht="27" customHeight="1" x14ac:dyDescent="0.3">
      <c r="A136" s="7">
        <v>338971439</v>
      </c>
      <c r="B136" s="7" t="s">
        <v>73</v>
      </c>
      <c r="C136" s="8">
        <v>46048</v>
      </c>
      <c r="D136" s="8">
        <v>46048</v>
      </c>
      <c r="E136" s="7" t="s">
        <v>21</v>
      </c>
      <c r="F136" s="7" t="s">
        <v>59</v>
      </c>
      <c r="G136" s="7" t="s">
        <v>237</v>
      </c>
      <c r="H136" s="9" t="s">
        <v>521</v>
      </c>
      <c r="I136" s="7" t="s">
        <v>522</v>
      </c>
      <c r="J136" s="7" t="s">
        <v>49</v>
      </c>
      <c r="K136" s="10">
        <v>600</v>
      </c>
      <c r="L136" s="10">
        <v>957.92</v>
      </c>
      <c r="M136" s="10">
        <v>466.78</v>
      </c>
      <c r="N136" s="11">
        <f>(Table1[[#This Row],[NTE Approved ]]-Table1[[#This Row],[Cost]])/Table1[[#This Row],[Cost]]</f>
        <v>1.05218732593513</v>
      </c>
      <c r="O136" s="7" t="s">
        <v>520</v>
      </c>
      <c r="P136" s="7" t="s">
        <v>28</v>
      </c>
      <c r="Q136" s="8"/>
      <c r="T136" s="8"/>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row>
    <row r="137" spans="1:153" ht="27" customHeight="1" x14ac:dyDescent="0.3">
      <c r="A137">
        <v>6138</v>
      </c>
      <c r="C137" s="1">
        <v>46050</v>
      </c>
      <c r="D137" s="1">
        <v>46050</v>
      </c>
      <c r="E137" t="s">
        <v>360</v>
      </c>
      <c r="F137" t="s">
        <v>22</v>
      </c>
      <c r="G137" t="s">
        <v>523</v>
      </c>
      <c r="H137" s="17" t="s">
        <v>524</v>
      </c>
      <c r="I137" t="s">
        <v>525</v>
      </c>
      <c r="J137" t="s">
        <v>26</v>
      </c>
      <c r="K137" s="2"/>
      <c r="L137" s="2"/>
      <c r="M137" s="2"/>
      <c r="N137" s="11" t="e">
        <f>(Table1[[#This Row],[NTE Approved ]]-Table1[[#This Row],[Cost]])/Table1[[#This Row],[Cost]]</f>
        <v>#DIV/0!</v>
      </c>
      <c r="O137" s="17" t="s">
        <v>526</v>
      </c>
      <c r="P137" s="17" t="s">
        <v>162</v>
      </c>
      <c r="Q137" s="1"/>
    </row>
    <row r="138" spans="1:153" ht="27" customHeight="1" x14ac:dyDescent="0.3">
      <c r="A138">
        <v>333873515</v>
      </c>
      <c r="B138" t="s">
        <v>44</v>
      </c>
      <c r="C138" s="1">
        <v>46001</v>
      </c>
      <c r="D138" s="1">
        <v>46003</v>
      </c>
      <c r="E138" t="s">
        <v>21</v>
      </c>
      <c r="F138" t="s">
        <v>38</v>
      </c>
      <c r="G138" t="s">
        <v>126</v>
      </c>
      <c r="H138" s="17" t="s">
        <v>527</v>
      </c>
      <c r="I138" t="s">
        <v>528</v>
      </c>
      <c r="J138" t="s">
        <v>63</v>
      </c>
      <c r="K138" s="2">
        <v>500</v>
      </c>
      <c r="L138" s="2">
        <v>3099.02</v>
      </c>
      <c r="M138" s="2">
        <v>1708.23</v>
      </c>
      <c r="N138" s="11">
        <f>(Table1[[#This Row],[NTE Approved ]]-Table1[[#This Row],[Cost]])/Table1[[#This Row],[Cost]]</f>
        <v>0.81417022297934116</v>
      </c>
      <c r="O138" s="17" t="s">
        <v>529</v>
      </c>
      <c r="P138" t="s">
        <v>28</v>
      </c>
      <c r="Q138" s="1"/>
    </row>
    <row r="139" spans="1:153" ht="27" customHeight="1" x14ac:dyDescent="0.3">
      <c r="A139" s="7">
        <v>331779351</v>
      </c>
      <c r="B139" s="7" t="s">
        <v>91</v>
      </c>
      <c r="C139" s="8">
        <v>45978</v>
      </c>
      <c r="D139" s="8">
        <v>45980</v>
      </c>
      <c r="E139" s="9" t="s">
        <v>355</v>
      </c>
      <c r="F139" s="7" t="s">
        <v>530</v>
      </c>
      <c r="G139" s="7" t="s">
        <v>531</v>
      </c>
      <c r="H139" s="9" t="s">
        <v>357</v>
      </c>
      <c r="I139" s="7" t="s">
        <v>358</v>
      </c>
      <c r="J139" s="7" t="s">
        <v>144</v>
      </c>
      <c r="K139" s="10">
        <v>1400</v>
      </c>
      <c r="L139" s="10">
        <v>624.98</v>
      </c>
      <c r="M139" s="10">
        <v>250</v>
      </c>
      <c r="N139" s="11">
        <f>(Table1[[#This Row],[NTE Approved ]]-Table1[[#This Row],[Cost]])/Table1[[#This Row],[Cost]]</f>
        <v>1.4999200000000001</v>
      </c>
      <c r="O139" s="9" t="s">
        <v>532</v>
      </c>
      <c r="P139" s="7" t="s">
        <v>28</v>
      </c>
      <c r="Q139" s="8"/>
      <c r="R139" s="7"/>
      <c r="S139" s="7"/>
    </row>
    <row r="140" spans="1:153" ht="27" customHeight="1" x14ac:dyDescent="0.3">
      <c r="A140" s="7" t="s">
        <v>533</v>
      </c>
      <c r="B140" s="7" t="s">
        <v>91</v>
      </c>
      <c r="C140" s="8">
        <v>46048</v>
      </c>
      <c r="D140" s="8">
        <v>46048</v>
      </c>
      <c r="E140" s="9" t="s">
        <v>534</v>
      </c>
      <c r="F140" s="7" t="s">
        <v>59</v>
      </c>
      <c r="G140" s="7" t="s">
        <v>535</v>
      </c>
      <c r="H140" s="9" t="s">
        <v>536</v>
      </c>
      <c r="I140" s="7" t="s">
        <v>537</v>
      </c>
      <c r="J140" s="7" t="s">
        <v>365</v>
      </c>
      <c r="K140" s="10">
        <v>350</v>
      </c>
      <c r="L140" s="10">
        <v>610.74</v>
      </c>
      <c r="M140" s="10">
        <v>250</v>
      </c>
      <c r="N140" s="11">
        <f>(Table1[[#This Row],[NTE Approved ]]-Table1[[#This Row],[Cost]])/Table1[[#This Row],[Cost]]</f>
        <v>1.44296</v>
      </c>
      <c r="O140" s="9" t="s">
        <v>536</v>
      </c>
      <c r="P140" s="7" t="s">
        <v>28</v>
      </c>
      <c r="Q140" s="8"/>
      <c r="R140" s="7"/>
      <c r="S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row>
    <row r="141" spans="1:153" s="7" customFormat="1" ht="27" customHeight="1" x14ac:dyDescent="0.3">
      <c r="A141" s="7">
        <v>339421131</v>
      </c>
      <c r="B141" s="7" t="s">
        <v>163</v>
      </c>
      <c r="C141" s="8">
        <v>46050</v>
      </c>
      <c r="D141" s="8">
        <v>46052</v>
      </c>
      <c r="E141" s="7" t="s">
        <v>81</v>
      </c>
      <c r="F141" s="7" t="s">
        <v>30</v>
      </c>
      <c r="G141" s="7" t="s">
        <v>82</v>
      </c>
      <c r="H141" s="9" t="s">
        <v>538</v>
      </c>
      <c r="I141" s="7" t="s">
        <v>539</v>
      </c>
      <c r="J141" s="7" t="s">
        <v>42</v>
      </c>
      <c r="K141" s="10">
        <v>467.5</v>
      </c>
      <c r="L141" s="10">
        <v>351</v>
      </c>
      <c r="M141" s="10">
        <v>200</v>
      </c>
      <c r="N141" s="11">
        <f>(Table1[[#This Row],[NTE Approved ]]-Table1[[#This Row],[Cost]])/Table1[[#This Row],[Cost]]</f>
        <v>0.755</v>
      </c>
      <c r="O141" s="7" t="s">
        <v>540</v>
      </c>
      <c r="P141" s="7" t="s">
        <v>28</v>
      </c>
      <c r="Q141" s="8">
        <v>46050</v>
      </c>
      <c r="T141" s="8"/>
    </row>
    <row r="142" spans="1:153" s="7" customFormat="1" ht="27" customHeight="1" x14ac:dyDescent="0.3">
      <c r="A142" s="7" t="s">
        <v>541</v>
      </c>
      <c r="B142" s="7" t="s">
        <v>73</v>
      </c>
      <c r="C142" s="8">
        <v>45952</v>
      </c>
      <c r="D142" s="8">
        <v>45958</v>
      </c>
      <c r="E142" s="7" t="s">
        <v>156</v>
      </c>
      <c r="F142" s="7" t="s">
        <v>38</v>
      </c>
      <c r="G142" s="7" t="s">
        <v>39</v>
      </c>
      <c r="H142" s="9" t="s">
        <v>542</v>
      </c>
      <c r="I142" s="7" t="s">
        <v>320</v>
      </c>
      <c r="J142" s="7" t="s">
        <v>49</v>
      </c>
      <c r="K142" s="10"/>
      <c r="L142" s="10">
        <v>9822.77</v>
      </c>
      <c r="M142" s="10"/>
      <c r="N142" s="11" t="e">
        <f>(Table1[[#This Row],[NTE Approved ]]-Table1[[#This Row],[Cost]])/Table1[[#This Row],[Cost]]</f>
        <v>#DIV/0!</v>
      </c>
      <c r="O142" s="9" t="s">
        <v>543</v>
      </c>
      <c r="P142" s="7" t="s">
        <v>28</v>
      </c>
      <c r="Q142" s="8">
        <v>45989</v>
      </c>
      <c r="R142" s="7" t="s">
        <v>68</v>
      </c>
      <c r="T142" s="8"/>
    </row>
    <row r="143" spans="1:153" s="7" customFormat="1" ht="27" customHeight="1" x14ac:dyDescent="0.3">
      <c r="A143" s="7">
        <v>14915</v>
      </c>
      <c r="B143" s="7" t="s">
        <v>91</v>
      </c>
      <c r="C143" s="8">
        <v>46052</v>
      </c>
      <c r="D143" s="8">
        <v>46052</v>
      </c>
      <c r="E143" s="7" t="s">
        <v>360</v>
      </c>
      <c r="F143" s="7" t="s">
        <v>59</v>
      </c>
      <c r="G143" s="7" t="s">
        <v>237</v>
      </c>
      <c r="H143" s="9" t="s">
        <v>544</v>
      </c>
      <c r="I143" s="7" t="s">
        <v>545</v>
      </c>
      <c r="J143" s="7" t="s">
        <v>311</v>
      </c>
      <c r="K143" s="10"/>
      <c r="L143" s="10">
        <v>840.95</v>
      </c>
      <c r="M143" s="10">
        <v>180</v>
      </c>
      <c r="N143" s="11">
        <f>(Table1[[#This Row],[NTE Approved ]]-Table1[[#This Row],[Cost]])/Table1[[#This Row],[Cost]]</f>
        <v>3.6719444444444447</v>
      </c>
      <c r="O143" s="9" t="s">
        <v>546</v>
      </c>
      <c r="P143" s="7" t="s">
        <v>28</v>
      </c>
      <c r="Q143" s="8"/>
      <c r="T143" s="8"/>
    </row>
    <row r="144" spans="1:153" s="7" customFormat="1" ht="27" customHeight="1" x14ac:dyDescent="0.3">
      <c r="A144" s="7">
        <v>14853</v>
      </c>
      <c r="B144" s="7" t="s">
        <v>91</v>
      </c>
      <c r="C144" s="8">
        <v>46050</v>
      </c>
      <c r="D144" s="8">
        <v>46050</v>
      </c>
      <c r="E144" s="7" t="s">
        <v>360</v>
      </c>
      <c r="F144" s="7" t="s">
        <v>59</v>
      </c>
      <c r="G144" s="7" t="s">
        <v>134</v>
      </c>
      <c r="H144" s="9" t="s">
        <v>547</v>
      </c>
      <c r="I144" s="7" t="s">
        <v>548</v>
      </c>
      <c r="J144" s="7" t="s">
        <v>195</v>
      </c>
      <c r="K144" s="10"/>
      <c r="L144" s="10">
        <v>957</v>
      </c>
      <c r="M144" s="10">
        <v>378</v>
      </c>
      <c r="N144" s="11">
        <f>(Table1[[#This Row],[NTE Approved ]]-Table1[[#This Row],[Cost]])/Table1[[#This Row],[Cost]]</f>
        <v>1.5317460317460319</v>
      </c>
      <c r="O144" s="9" t="s">
        <v>549</v>
      </c>
      <c r="P144" s="7" t="s">
        <v>28</v>
      </c>
      <c r="Q144" s="8"/>
      <c r="T144" s="8"/>
    </row>
    <row r="145" spans="1:153" s="7" customFormat="1" ht="27" customHeight="1" x14ac:dyDescent="0.3">
      <c r="A145" s="7">
        <v>14847</v>
      </c>
      <c r="B145" s="7" t="s">
        <v>73</v>
      </c>
      <c r="C145" s="8">
        <v>46050</v>
      </c>
      <c r="D145" s="8">
        <v>46051</v>
      </c>
      <c r="E145" s="7" t="s">
        <v>360</v>
      </c>
      <c r="F145" s="7" t="s">
        <v>59</v>
      </c>
      <c r="G145" s="7" t="s">
        <v>60</v>
      </c>
      <c r="H145" s="9" t="s">
        <v>550</v>
      </c>
      <c r="I145" s="7" t="s">
        <v>551</v>
      </c>
      <c r="J145" s="7" t="s">
        <v>195</v>
      </c>
      <c r="K145" s="10"/>
      <c r="L145" s="10">
        <v>728.67</v>
      </c>
      <c r="M145" s="10">
        <v>415</v>
      </c>
      <c r="N145" s="11">
        <f>(Table1[[#This Row],[NTE Approved ]]-Table1[[#This Row],[Cost]])/Table1[[#This Row],[Cost]]</f>
        <v>0.75583132530120467</v>
      </c>
      <c r="O145" s="9" t="s">
        <v>552</v>
      </c>
      <c r="P145" s="7" t="s">
        <v>28</v>
      </c>
      <c r="Q145" s="8"/>
      <c r="T145" s="8"/>
    </row>
    <row r="146" spans="1:153" s="7" customFormat="1" ht="27" customHeight="1" x14ac:dyDescent="0.3">
      <c r="A146" s="7">
        <v>333894117</v>
      </c>
      <c r="B146" s="7" t="s">
        <v>91</v>
      </c>
      <c r="C146" s="8">
        <v>46002</v>
      </c>
      <c r="D146" s="8">
        <v>46007</v>
      </c>
      <c r="E146" s="7" t="s">
        <v>21</v>
      </c>
      <c r="F146" s="7" t="s">
        <v>38</v>
      </c>
      <c r="G146" s="7" t="s">
        <v>126</v>
      </c>
      <c r="H146" s="9" t="s">
        <v>553</v>
      </c>
      <c r="I146" s="7" t="s">
        <v>554</v>
      </c>
      <c r="J146" s="7" t="s">
        <v>195</v>
      </c>
      <c r="K146" s="10">
        <v>750</v>
      </c>
      <c r="L146" s="10">
        <v>984.45</v>
      </c>
      <c r="M146" s="10">
        <v>500</v>
      </c>
      <c r="N146" s="11">
        <f>(Table1[[#This Row],[NTE Approved ]]-Table1[[#This Row],[Cost]])/Table1[[#This Row],[Cost]]</f>
        <v>0.96890000000000009</v>
      </c>
      <c r="O146" s="7" t="s">
        <v>555</v>
      </c>
      <c r="P146" s="7" t="s">
        <v>28</v>
      </c>
      <c r="Q146" s="8">
        <v>46013</v>
      </c>
      <c r="T146" s="8"/>
    </row>
    <row r="147" spans="1:153" s="7" customFormat="1" ht="27" customHeight="1" x14ac:dyDescent="0.3">
      <c r="A147" s="7">
        <v>336418549</v>
      </c>
      <c r="B147" s="7" t="s">
        <v>20</v>
      </c>
      <c r="C147" s="8">
        <v>46021</v>
      </c>
      <c r="D147" s="8">
        <v>46021</v>
      </c>
      <c r="E147" s="7" t="s">
        <v>21</v>
      </c>
      <c r="F147" s="7" t="s">
        <v>30</v>
      </c>
      <c r="G147" s="7" t="s">
        <v>556</v>
      </c>
      <c r="H147" s="9" t="s">
        <v>457</v>
      </c>
      <c r="I147" s="7" t="s">
        <v>458</v>
      </c>
      <c r="J147" s="7" t="s">
        <v>235</v>
      </c>
      <c r="K147" s="10">
        <v>750</v>
      </c>
      <c r="L147" s="10">
        <v>255</v>
      </c>
      <c r="M147" s="10">
        <v>50</v>
      </c>
      <c r="N147" s="11">
        <f>(Table1[[#This Row],[NTE Approved ]]-Table1[[#This Row],[Cost]])/Table1[[#This Row],[Cost]]</f>
        <v>4.0999999999999996</v>
      </c>
      <c r="O147" s="9" t="s">
        <v>557</v>
      </c>
      <c r="P147" s="7" t="s">
        <v>51</v>
      </c>
      <c r="Q147" s="8"/>
      <c r="T147" s="8"/>
    </row>
    <row r="148" spans="1:153" s="7" customFormat="1" ht="27" customHeight="1" x14ac:dyDescent="0.3">
      <c r="A148" s="7">
        <v>336281128</v>
      </c>
      <c r="B148" s="7" t="s">
        <v>125</v>
      </c>
      <c r="C148" s="8">
        <v>46013</v>
      </c>
      <c r="D148" s="8">
        <v>46021</v>
      </c>
      <c r="E148" s="7" t="s">
        <v>21</v>
      </c>
      <c r="F148" s="7" t="s">
        <v>38</v>
      </c>
      <c r="G148" s="7" t="s">
        <v>86</v>
      </c>
      <c r="H148" s="9" t="s">
        <v>558</v>
      </c>
      <c r="I148" s="7" t="s">
        <v>559</v>
      </c>
      <c r="J148" s="7" t="s">
        <v>206</v>
      </c>
      <c r="K148" s="10">
        <v>550</v>
      </c>
      <c r="L148" s="10">
        <v>408.91</v>
      </c>
      <c r="M148" s="10">
        <v>180</v>
      </c>
      <c r="N148" s="11">
        <f>(Table1[[#This Row],[NTE Approved ]]-Table1[[#This Row],[Cost]])/Table1[[#This Row],[Cost]]</f>
        <v>1.2717222222222224</v>
      </c>
      <c r="O148" s="7" t="s">
        <v>560</v>
      </c>
      <c r="P148" s="7" t="s">
        <v>28</v>
      </c>
      <c r="Q148" s="8"/>
      <c r="T148" s="8"/>
    </row>
    <row r="149" spans="1:153" s="7" customFormat="1" ht="27" customHeight="1" x14ac:dyDescent="0.3">
      <c r="A149" s="7">
        <v>336286256</v>
      </c>
      <c r="B149" s="7" t="s">
        <v>295</v>
      </c>
      <c r="C149" s="8">
        <v>46020</v>
      </c>
      <c r="D149" s="8">
        <v>46021</v>
      </c>
      <c r="E149" s="7" t="s">
        <v>21</v>
      </c>
      <c r="F149" s="7" t="s">
        <v>59</v>
      </c>
      <c r="G149" s="7" t="s">
        <v>120</v>
      </c>
      <c r="H149" s="9" t="s">
        <v>561</v>
      </c>
      <c r="I149" s="7" t="s">
        <v>562</v>
      </c>
      <c r="J149" s="7" t="s">
        <v>56</v>
      </c>
      <c r="K149" s="10">
        <v>550</v>
      </c>
      <c r="L149" s="10">
        <v>372.6</v>
      </c>
      <c r="M149" s="10">
        <v>189</v>
      </c>
      <c r="N149" s="11">
        <f>(Table1[[#This Row],[NTE Approved ]]-Table1[[#This Row],[Cost]])/Table1[[#This Row],[Cost]]</f>
        <v>0.97142857142857153</v>
      </c>
      <c r="O149" s="9" t="s">
        <v>563</v>
      </c>
      <c r="P149" s="7" t="s">
        <v>28</v>
      </c>
      <c r="Q149" s="8"/>
      <c r="T149" s="8"/>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row>
    <row r="150" spans="1:153" ht="27" customHeight="1" x14ac:dyDescent="0.3">
      <c r="A150" s="7">
        <v>332171376</v>
      </c>
      <c r="B150" s="7" t="s">
        <v>73</v>
      </c>
      <c r="C150" s="8">
        <v>45999</v>
      </c>
      <c r="D150" s="8">
        <v>46001</v>
      </c>
      <c r="E150" s="7" t="s">
        <v>21</v>
      </c>
      <c r="F150" s="7" t="s">
        <v>22</v>
      </c>
      <c r="G150" s="7" t="s">
        <v>564</v>
      </c>
      <c r="H150" s="9" t="s">
        <v>565</v>
      </c>
      <c r="I150" s="7" t="s">
        <v>566</v>
      </c>
      <c r="J150" s="7" t="s">
        <v>400</v>
      </c>
      <c r="K150" s="10">
        <v>350</v>
      </c>
      <c r="L150" s="10">
        <v>442.8</v>
      </c>
      <c r="M150" s="10">
        <v>245</v>
      </c>
      <c r="N150" s="11">
        <f>(Table1[[#This Row],[NTE Approved ]]-Table1[[#This Row],[Cost]])/Table1[[#This Row],[Cost]]</f>
        <v>0.80734693877551023</v>
      </c>
      <c r="O150" s="9" t="s">
        <v>567</v>
      </c>
      <c r="P150" s="7" t="s">
        <v>28</v>
      </c>
      <c r="Q150" s="8"/>
      <c r="R150" s="7"/>
      <c r="S150" s="7"/>
    </row>
    <row r="151" spans="1:153" ht="27" customHeight="1" x14ac:dyDescent="0.3">
      <c r="A151" s="7">
        <v>336783774</v>
      </c>
      <c r="B151" s="7" t="s">
        <v>80</v>
      </c>
      <c r="C151" s="8">
        <v>46024</v>
      </c>
      <c r="D151" s="8">
        <v>46030</v>
      </c>
      <c r="E151" s="7" t="s">
        <v>21</v>
      </c>
      <c r="F151" s="7" t="s">
        <v>38</v>
      </c>
      <c r="G151" s="7" t="s">
        <v>433</v>
      </c>
      <c r="H151" s="9" t="s">
        <v>568</v>
      </c>
      <c r="I151" s="7" t="s">
        <v>569</v>
      </c>
      <c r="J151" s="7" t="s">
        <v>49</v>
      </c>
      <c r="K151" s="10">
        <v>300</v>
      </c>
      <c r="L151" s="10">
        <v>299.75</v>
      </c>
      <c r="M151" s="10">
        <v>170</v>
      </c>
      <c r="N151" s="11">
        <f>(Table1[[#This Row],[NTE Approved ]]-Table1[[#This Row],[Cost]])/Table1[[#This Row],[Cost]]</f>
        <v>0.76323529411764701</v>
      </c>
      <c r="O151" s="9" t="s">
        <v>570</v>
      </c>
      <c r="P151" s="7" t="s">
        <v>28</v>
      </c>
      <c r="Q151" s="8"/>
      <c r="R151" s="7"/>
      <c r="S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row>
    <row r="152" spans="1:153" s="7" customFormat="1" ht="27" customHeight="1" x14ac:dyDescent="0.3">
      <c r="A152" s="7">
        <v>336441892</v>
      </c>
      <c r="B152" s="7" t="s">
        <v>91</v>
      </c>
      <c r="C152" s="8">
        <v>46024</v>
      </c>
      <c r="D152" s="8">
        <v>46024</v>
      </c>
      <c r="E152" s="7" t="s">
        <v>21</v>
      </c>
      <c r="F152" s="7" t="s">
        <v>45</v>
      </c>
      <c r="G152" s="7" t="s">
        <v>46</v>
      </c>
      <c r="H152" s="9" t="s">
        <v>571</v>
      </c>
      <c r="I152" s="7" t="s">
        <v>572</v>
      </c>
      <c r="J152" s="7" t="s">
        <v>49</v>
      </c>
      <c r="K152" s="10">
        <v>750</v>
      </c>
      <c r="L152" s="10">
        <v>731.65</v>
      </c>
      <c r="M152" s="10">
        <v>300</v>
      </c>
      <c r="N152" s="11">
        <f>(Table1[[#This Row],[NTE Approved ]]-Table1[[#This Row],[Cost]])/Table1[[#This Row],[Cost]]</f>
        <v>1.4388333333333332</v>
      </c>
      <c r="O152" s="7" t="s">
        <v>573</v>
      </c>
      <c r="P152" s="7" t="s">
        <v>28</v>
      </c>
      <c r="Q152" s="8"/>
      <c r="T152" s="8"/>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row>
    <row r="153" spans="1:153" ht="27" customHeight="1" x14ac:dyDescent="0.3">
      <c r="A153" s="7">
        <v>337232295</v>
      </c>
      <c r="B153" s="7" t="s">
        <v>163</v>
      </c>
      <c r="C153" s="8">
        <v>46029</v>
      </c>
      <c r="D153" s="8">
        <v>46029</v>
      </c>
      <c r="E153" s="7" t="s">
        <v>21</v>
      </c>
      <c r="F153" s="7" t="s">
        <v>59</v>
      </c>
      <c r="G153" s="7" t="s">
        <v>138</v>
      </c>
      <c r="H153" s="9" t="s">
        <v>574</v>
      </c>
      <c r="I153" s="7" t="s">
        <v>575</v>
      </c>
      <c r="J153" s="7" t="s">
        <v>216</v>
      </c>
      <c r="K153" s="10">
        <v>850</v>
      </c>
      <c r="L153" s="10">
        <v>255</v>
      </c>
      <c r="M153" s="10">
        <v>150</v>
      </c>
      <c r="N153" s="11">
        <f>(Table1[[#This Row],[NTE Approved ]]-Table1[[#This Row],[Cost]])/Table1[[#This Row],[Cost]]</f>
        <v>0.7</v>
      </c>
      <c r="O153" s="9" t="s">
        <v>576</v>
      </c>
      <c r="P153" s="7" t="s">
        <v>51</v>
      </c>
      <c r="Q153" s="8"/>
      <c r="R153" s="7"/>
      <c r="S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row>
    <row r="154" spans="1:153" s="7" customFormat="1" ht="27" customHeight="1" x14ac:dyDescent="0.3">
      <c r="A154" s="7">
        <v>337299510</v>
      </c>
      <c r="B154" s="7" t="s">
        <v>80</v>
      </c>
      <c r="C154" s="8">
        <v>46029</v>
      </c>
      <c r="D154" s="8">
        <v>46035</v>
      </c>
      <c r="E154" s="7" t="s">
        <v>21</v>
      </c>
      <c r="F154" s="7" t="s">
        <v>38</v>
      </c>
      <c r="G154" s="7" t="s">
        <v>433</v>
      </c>
      <c r="H154" s="9" t="s">
        <v>577</v>
      </c>
      <c r="I154" s="9" t="s">
        <v>578</v>
      </c>
      <c r="J154" s="7" t="s">
        <v>56</v>
      </c>
      <c r="K154" s="10">
        <v>500</v>
      </c>
      <c r="L154" s="10">
        <v>498.2</v>
      </c>
      <c r="M154" s="10">
        <v>135</v>
      </c>
      <c r="N154" s="11">
        <f>(Table1[[#This Row],[NTE Approved ]]-Table1[[#This Row],[Cost]])/Table1[[#This Row],[Cost]]</f>
        <v>2.6903703703703701</v>
      </c>
      <c r="O154" s="9" t="s">
        <v>579</v>
      </c>
      <c r="P154" s="7" t="s">
        <v>28</v>
      </c>
      <c r="Q154" s="8"/>
      <c r="T154" s="8"/>
    </row>
    <row r="155" spans="1:153" s="7" customFormat="1" ht="27" customHeight="1" x14ac:dyDescent="0.3">
      <c r="A155" s="7">
        <v>337189482</v>
      </c>
      <c r="B155" s="7" t="s">
        <v>125</v>
      </c>
      <c r="C155" s="8">
        <v>46029</v>
      </c>
      <c r="D155" s="8">
        <v>46030</v>
      </c>
      <c r="E155" s="7" t="s">
        <v>21</v>
      </c>
      <c r="F155" s="7" t="s">
        <v>30</v>
      </c>
      <c r="G155" s="7" t="s">
        <v>126</v>
      </c>
      <c r="H155" s="9" t="s">
        <v>580</v>
      </c>
      <c r="I155" s="7" t="s">
        <v>581</v>
      </c>
      <c r="J155" s="7" t="s">
        <v>89</v>
      </c>
      <c r="K155" s="10">
        <v>550</v>
      </c>
      <c r="L155" s="10">
        <v>428.13</v>
      </c>
      <c r="M155" s="10">
        <v>165</v>
      </c>
      <c r="N155" s="11">
        <f>(Table1[[#This Row],[NTE Approved ]]-Table1[[#This Row],[Cost]])/Table1[[#This Row],[Cost]]</f>
        <v>1.5947272727272728</v>
      </c>
      <c r="O155" s="7" t="s">
        <v>582</v>
      </c>
      <c r="P155" s="7" t="s">
        <v>28</v>
      </c>
      <c r="Q155" s="8"/>
      <c r="T155" s="8"/>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row>
    <row r="156" spans="1:153" ht="27" customHeight="1" x14ac:dyDescent="0.3">
      <c r="A156" s="7">
        <v>337229946</v>
      </c>
      <c r="B156" s="7" t="s">
        <v>73</v>
      </c>
      <c r="C156" s="8">
        <v>46030</v>
      </c>
      <c r="D156" s="8">
        <v>46030</v>
      </c>
      <c r="E156" s="7" t="s">
        <v>21</v>
      </c>
      <c r="F156" s="7" t="s">
        <v>59</v>
      </c>
      <c r="G156" s="7" t="s">
        <v>583</v>
      </c>
      <c r="H156" s="9" t="s">
        <v>584</v>
      </c>
      <c r="I156" s="7" t="s">
        <v>585</v>
      </c>
      <c r="J156" s="7" t="s">
        <v>132</v>
      </c>
      <c r="K156" s="10">
        <v>650</v>
      </c>
      <c r="L156" s="10">
        <v>371.25</v>
      </c>
      <c r="M156" s="10">
        <v>80</v>
      </c>
      <c r="N156" s="11">
        <f>(Table1[[#This Row],[NTE Approved ]]-Table1[[#This Row],[Cost]])/Table1[[#This Row],[Cost]]</f>
        <v>3.640625</v>
      </c>
      <c r="O156" s="7" t="s">
        <v>586</v>
      </c>
      <c r="P156" s="7" t="s">
        <v>28</v>
      </c>
      <c r="Q156" s="8"/>
      <c r="R156" s="7"/>
      <c r="S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row>
    <row r="157" spans="1:153" s="7" customFormat="1" ht="27" customHeight="1" x14ac:dyDescent="0.3">
      <c r="A157" s="7">
        <v>337453053</v>
      </c>
      <c r="B157" s="7" t="s">
        <v>20</v>
      </c>
      <c r="C157" s="8">
        <v>46030</v>
      </c>
      <c r="D157" s="8">
        <v>46030</v>
      </c>
      <c r="E157" s="7" t="s">
        <v>21</v>
      </c>
      <c r="F157" s="7" t="s">
        <v>45</v>
      </c>
      <c r="G157" s="7" t="s">
        <v>46</v>
      </c>
      <c r="H157" s="9" t="s">
        <v>587</v>
      </c>
      <c r="I157" s="7" t="s">
        <v>588</v>
      </c>
      <c r="J157" s="7" t="s">
        <v>42</v>
      </c>
      <c r="K157" s="10">
        <v>750</v>
      </c>
      <c r="L157" s="10">
        <v>577.54999999999995</v>
      </c>
      <c r="M157" s="10">
        <v>250</v>
      </c>
      <c r="N157" s="11">
        <f>(Table1[[#This Row],[NTE Approved ]]-Table1[[#This Row],[Cost]])/Table1[[#This Row],[Cost]]</f>
        <v>1.3101999999999998</v>
      </c>
      <c r="O157" s="7" t="s">
        <v>589</v>
      </c>
      <c r="P157" s="7" t="s">
        <v>28</v>
      </c>
      <c r="Q157" s="8"/>
      <c r="T157" s="8"/>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row>
    <row r="158" spans="1:153" s="9" customFormat="1" ht="27" customHeight="1" x14ac:dyDescent="0.3">
      <c r="A158" s="9">
        <v>336289436</v>
      </c>
      <c r="B158" s="9" t="s">
        <v>73</v>
      </c>
      <c r="C158" s="13">
        <v>46030</v>
      </c>
      <c r="D158" s="13">
        <v>46034</v>
      </c>
      <c r="E158" s="9" t="s">
        <v>21</v>
      </c>
      <c r="F158" s="9" t="s">
        <v>22</v>
      </c>
      <c r="G158" s="9" t="s">
        <v>564</v>
      </c>
      <c r="H158" s="9" t="s">
        <v>590</v>
      </c>
      <c r="I158" s="9" t="s">
        <v>591</v>
      </c>
      <c r="J158" s="9" t="s">
        <v>195</v>
      </c>
      <c r="K158" s="14">
        <v>750</v>
      </c>
      <c r="L158" s="14">
        <v>702</v>
      </c>
      <c r="M158" s="14">
        <v>270</v>
      </c>
      <c r="N158" s="11">
        <f>(Table1[[#This Row],[NTE Approved ]]-Table1[[#This Row],[Cost]])/Table1[[#This Row],[Cost]]</f>
        <v>1.6</v>
      </c>
      <c r="O158" s="9" t="s">
        <v>592</v>
      </c>
      <c r="P158" s="9" t="s">
        <v>28</v>
      </c>
      <c r="Q158" s="13"/>
      <c r="T158" s="8"/>
    </row>
    <row r="159" spans="1:153" s="9" customFormat="1" ht="27" customHeight="1" x14ac:dyDescent="0.3">
      <c r="A159" s="9">
        <v>335085442</v>
      </c>
      <c r="B159" s="9" t="s">
        <v>20</v>
      </c>
      <c r="C159" s="13">
        <v>46009</v>
      </c>
      <c r="D159" s="13">
        <v>46013</v>
      </c>
      <c r="E159" s="9" t="s">
        <v>21</v>
      </c>
      <c r="F159" s="9" t="s">
        <v>361</v>
      </c>
      <c r="G159" s="9" t="s">
        <v>593</v>
      </c>
      <c r="H159" s="9" t="s">
        <v>594</v>
      </c>
      <c r="I159" s="9" t="s">
        <v>595</v>
      </c>
      <c r="J159" s="9" t="s">
        <v>63</v>
      </c>
      <c r="K159" s="14">
        <v>250</v>
      </c>
      <c r="L159" s="14">
        <v>150</v>
      </c>
      <c r="M159" s="14">
        <v>75</v>
      </c>
      <c r="N159" s="11">
        <f>(Table1[[#This Row],[NTE Approved ]]-Table1[[#This Row],[Cost]])/Table1[[#This Row],[Cost]]</f>
        <v>1</v>
      </c>
      <c r="O159" s="9" t="s">
        <v>596</v>
      </c>
      <c r="P159" s="9" t="s">
        <v>51</v>
      </c>
      <c r="Q159" s="13">
        <v>46024</v>
      </c>
      <c r="T159" s="8"/>
    </row>
    <row r="160" spans="1:153" s="9" customFormat="1" ht="27" customHeight="1" x14ac:dyDescent="0.3">
      <c r="A160" s="9">
        <v>337447496</v>
      </c>
      <c r="B160" s="9" t="s">
        <v>125</v>
      </c>
      <c r="C160" s="13">
        <v>46030</v>
      </c>
      <c r="D160" s="13">
        <v>46034</v>
      </c>
      <c r="E160" s="9" t="s">
        <v>21</v>
      </c>
      <c r="F160" s="9" t="s">
        <v>22</v>
      </c>
      <c r="G160" s="9" t="s">
        <v>92</v>
      </c>
      <c r="H160" s="9" t="s">
        <v>597</v>
      </c>
      <c r="I160" s="9" t="s">
        <v>598</v>
      </c>
      <c r="J160" s="9" t="s">
        <v>49</v>
      </c>
      <c r="K160" s="14">
        <v>450</v>
      </c>
      <c r="L160" s="14">
        <v>170</v>
      </c>
      <c r="M160" s="14">
        <v>75</v>
      </c>
      <c r="N160" s="11">
        <f>(Table1[[#This Row],[NTE Approved ]]-Table1[[#This Row],[Cost]])/Table1[[#This Row],[Cost]]</f>
        <v>1.2666666666666666</v>
      </c>
      <c r="O160" s="9" t="s">
        <v>599</v>
      </c>
      <c r="P160" s="9" t="s">
        <v>51</v>
      </c>
      <c r="Q160" s="13"/>
      <c r="T160" s="8"/>
    </row>
    <row r="161" spans="1:153" s="9" customFormat="1" ht="27" customHeight="1" x14ac:dyDescent="0.3">
      <c r="A161" s="9">
        <v>337441095</v>
      </c>
      <c r="B161" s="9" t="s">
        <v>20</v>
      </c>
      <c r="C161" s="13">
        <v>46030</v>
      </c>
      <c r="D161" s="13">
        <v>46031</v>
      </c>
      <c r="E161" s="9" t="s">
        <v>21</v>
      </c>
      <c r="F161" s="9" t="s">
        <v>59</v>
      </c>
      <c r="G161" s="9" t="s">
        <v>600</v>
      </c>
      <c r="H161" s="9" t="s">
        <v>601</v>
      </c>
      <c r="I161" s="9" t="s">
        <v>602</v>
      </c>
      <c r="J161" s="9" t="s">
        <v>195</v>
      </c>
      <c r="K161" s="14">
        <v>600</v>
      </c>
      <c r="L161" s="14">
        <v>2908.39</v>
      </c>
      <c r="M161" s="14"/>
      <c r="N161" s="11" t="e">
        <f>(Table1[[#This Row],[NTE Approved ]]-Table1[[#This Row],[Cost]])/Table1[[#This Row],[Cost]]</f>
        <v>#DIV/0!</v>
      </c>
      <c r="O161" s="9" t="s">
        <v>603</v>
      </c>
      <c r="P161" s="9" t="s">
        <v>28</v>
      </c>
      <c r="Q161" s="13">
        <v>46034</v>
      </c>
      <c r="T161" s="8"/>
    </row>
    <row r="162" spans="1:153" s="9" customFormat="1" ht="27" customHeight="1" x14ac:dyDescent="0.3">
      <c r="A162" s="9">
        <v>337751275</v>
      </c>
      <c r="B162" s="9" t="s">
        <v>125</v>
      </c>
      <c r="C162" s="13">
        <v>46034</v>
      </c>
      <c r="D162" s="13">
        <v>46036</v>
      </c>
      <c r="E162" s="9" t="s">
        <v>21</v>
      </c>
      <c r="F162" s="9" t="s">
        <v>45</v>
      </c>
      <c r="G162" s="9" t="s">
        <v>604</v>
      </c>
      <c r="H162" s="9" t="s">
        <v>605</v>
      </c>
      <c r="I162" s="9" t="s">
        <v>606</v>
      </c>
      <c r="J162" s="9" t="s">
        <v>132</v>
      </c>
      <c r="K162" s="14">
        <v>750</v>
      </c>
      <c r="L162" s="14">
        <v>310.95</v>
      </c>
      <c r="M162" s="14">
        <v>125</v>
      </c>
      <c r="N162" s="11">
        <f>(Table1[[#This Row],[NTE Approved ]]-Table1[[#This Row],[Cost]])/Table1[[#This Row],[Cost]]</f>
        <v>1.4875999999999998</v>
      </c>
      <c r="O162" s="9" t="s">
        <v>607</v>
      </c>
      <c r="P162" s="9" t="s">
        <v>28</v>
      </c>
      <c r="Q162" s="13"/>
      <c r="T162" s="8"/>
    </row>
    <row r="163" spans="1:153" s="9" customFormat="1" ht="27" customHeight="1" x14ac:dyDescent="0.3">
      <c r="A163" s="9">
        <v>337804759</v>
      </c>
      <c r="B163" s="9" t="s">
        <v>125</v>
      </c>
      <c r="C163" s="13">
        <v>46034</v>
      </c>
      <c r="D163" s="13">
        <v>46035</v>
      </c>
      <c r="E163" s="9" t="s">
        <v>21</v>
      </c>
      <c r="F163" s="9" t="s">
        <v>30</v>
      </c>
      <c r="G163" s="9" t="s">
        <v>126</v>
      </c>
      <c r="H163" s="9" t="s">
        <v>608</v>
      </c>
      <c r="I163" s="9" t="s">
        <v>609</v>
      </c>
      <c r="J163" s="9" t="s">
        <v>195</v>
      </c>
      <c r="K163" s="14">
        <v>750</v>
      </c>
      <c r="L163" s="14">
        <v>428.04</v>
      </c>
      <c r="M163" s="14">
        <v>125</v>
      </c>
      <c r="N163" s="11">
        <f>(Table1[[#This Row],[NTE Approved ]]-Table1[[#This Row],[Cost]])/Table1[[#This Row],[Cost]]</f>
        <v>2.4243200000000003</v>
      </c>
      <c r="O163" s="9" t="s">
        <v>610</v>
      </c>
      <c r="P163" s="9" t="s">
        <v>28</v>
      </c>
      <c r="Q163" s="13"/>
      <c r="T163" s="8"/>
    </row>
    <row r="164" spans="1:153" s="9" customFormat="1" ht="27" customHeight="1" x14ac:dyDescent="0.3">
      <c r="A164" s="9">
        <v>337634438</v>
      </c>
      <c r="B164" s="9" t="s">
        <v>91</v>
      </c>
      <c r="C164" s="13">
        <v>46034</v>
      </c>
      <c r="D164" s="13">
        <v>46035</v>
      </c>
      <c r="E164" s="9" t="s">
        <v>21</v>
      </c>
      <c r="F164" s="9" t="s">
        <v>22</v>
      </c>
      <c r="G164" s="9" t="s">
        <v>611</v>
      </c>
      <c r="H164" s="9" t="s">
        <v>612</v>
      </c>
      <c r="I164" s="9" t="s">
        <v>613</v>
      </c>
      <c r="J164" s="9" t="s">
        <v>34</v>
      </c>
      <c r="K164" s="14">
        <v>550</v>
      </c>
      <c r="L164" s="14">
        <v>170</v>
      </c>
      <c r="M164" s="14">
        <v>95</v>
      </c>
      <c r="N164" s="11">
        <f>(Table1[[#This Row],[NTE Approved ]]-Table1[[#This Row],[Cost]])/Table1[[#This Row],[Cost]]</f>
        <v>0.78947368421052633</v>
      </c>
      <c r="O164" s="9" t="s">
        <v>614</v>
      </c>
      <c r="P164" s="9" t="s">
        <v>51</v>
      </c>
      <c r="Q164" s="13"/>
      <c r="T164" s="8"/>
    </row>
    <row r="165" spans="1:153" s="9" customFormat="1" ht="27" customHeight="1" x14ac:dyDescent="0.3">
      <c r="A165" s="9">
        <v>337900288</v>
      </c>
      <c r="B165" s="9" t="s">
        <v>91</v>
      </c>
      <c r="C165" s="13">
        <v>46035</v>
      </c>
      <c r="D165" s="13">
        <v>46035</v>
      </c>
      <c r="E165" s="9" t="s">
        <v>21</v>
      </c>
      <c r="F165" s="9" t="s">
        <v>59</v>
      </c>
      <c r="G165" s="9" t="s">
        <v>237</v>
      </c>
      <c r="H165" s="9" t="s">
        <v>615</v>
      </c>
      <c r="I165" s="9" t="s">
        <v>286</v>
      </c>
      <c r="J165" s="9" t="s">
        <v>42</v>
      </c>
      <c r="K165" s="14">
        <v>1000</v>
      </c>
      <c r="L165" s="14">
        <v>787.74</v>
      </c>
      <c r="M165" s="14">
        <v>350</v>
      </c>
      <c r="N165" s="11">
        <f>(Table1[[#This Row],[NTE Approved ]]-Table1[[#This Row],[Cost]])/Table1[[#This Row],[Cost]]</f>
        <v>1.2506857142857144</v>
      </c>
      <c r="O165" s="9" t="s">
        <v>616</v>
      </c>
      <c r="P165" s="9" t="s">
        <v>28</v>
      </c>
      <c r="Q165" s="13"/>
      <c r="T165" s="8"/>
    </row>
    <row r="166" spans="1:153" s="9" customFormat="1" ht="27" customHeight="1" x14ac:dyDescent="0.3">
      <c r="A166" s="9">
        <v>337862411</v>
      </c>
      <c r="B166" s="9" t="s">
        <v>295</v>
      </c>
      <c r="C166" s="13">
        <v>46035</v>
      </c>
      <c r="D166" s="13">
        <v>46036</v>
      </c>
      <c r="E166" s="9" t="s">
        <v>21</v>
      </c>
      <c r="F166" s="9" t="s">
        <v>59</v>
      </c>
      <c r="G166" s="9" t="s">
        <v>617</v>
      </c>
      <c r="H166" s="9" t="s">
        <v>594</v>
      </c>
      <c r="I166" s="9" t="s">
        <v>595</v>
      </c>
      <c r="J166" s="9" t="s">
        <v>63</v>
      </c>
      <c r="K166" s="14">
        <v>550</v>
      </c>
      <c r="L166" s="14">
        <v>508.25</v>
      </c>
      <c r="M166" s="14">
        <v>262</v>
      </c>
      <c r="N166" s="11">
        <f>(Table1[[#This Row],[NTE Approved ]]-Table1[[#This Row],[Cost]])/Table1[[#This Row],[Cost]]</f>
        <v>0.93988549618320616</v>
      </c>
      <c r="O166" s="9" t="s">
        <v>618</v>
      </c>
      <c r="P166" s="9" t="s">
        <v>28</v>
      </c>
      <c r="Q166" s="13"/>
      <c r="T166" s="8"/>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row>
    <row r="167" spans="1:153" ht="27" customHeight="1" x14ac:dyDescent="0.3">
      <c r="A167" s="9">
        <v>334728696</v>
      </c>
      <c r="B167" s="9" t="s">
        <v>163</v>
      </c>
      <c r="C167" s="13">
        <v>46035</v>
      </c>
      <c r="D167" s="13">
        <v>46037</v>
      </c>
      <c r="E167" s="9" t="s">
        <v>21</v>
      </c>
      <c r="F167" s="9" t="s">
        <v>22</v>
      </c>
      <c r="G167" s="9" t="s">
        <v>619</v>
      </c>
      <c r="H167" s="9" t="s">
        <v>620</v>
      </c>
      <c r="I167" s="9" t="s">
        <v>621</v>
      </c>
      <c r="J167" s="9" t="s">
        <v>56</v>
      </c>
      <c r="K167" s="14">
        <v>500</v>
      </c>
      <c r="L167" s="14">
        <v>479.12</v>
      </c>
      <c r="M167" s="14">
        <v>200</v>
      </c>
      <c r="N167" s="11">
        <f>(Table1[[#This Row],[NTE Approved ]]-Table1[[#This Row],[Cost]])/Table1[[#This Row],[Cost]]</f>
        <v>1.3956</v>
      </c>
      <c r="O167" s="9" t="s">
        <v>622</v>
      </c>
      <c r="P167" s="9" t="s">
        <v>28</v>
      </c>
      <c r="Q167" s="13"/>
      <c r="R167" s="9"/>
      <c r="S167" s="9"/>
    </row>
    <row r="168" spans="1:153" ht="27" customHeight="1" x14ac:dyDescent="0.3">
      <c r="A168" s="9">
        <v>338106821</v>
      </c>
      <c r="B168" s="9" t="s">
        <v>163</v>
      </c>
      <c r="C168" s="13">
        <v>46037</v>
      </c>
      <c r="D168" s="13">
        <v>46037</v>
      </c>
      <c r="E168" s="9" t="s">
        <v>21</v>
      </c>
      <c r="F168" s="9" t="s">
        <v>45</v>
      </c>
      <c r="G168" s="9" t="s">
        <v>46</v>
      </c>
      <c r="H168" s="9" t="s">
        <v>623</v>
      </c>
      <c r="I168" s="9" t="s">
        <v>624</v>
      </c>
      <c r="J168" s="9" t="s">
        <v>290</v>
      </c>
      <c r="K168" s="14">
        <v>500</v>
      </c>
      <c r="L168" s="14">
        <v>984.38</v>
      </c>
      <c r="M168" s="14">
        <v>560</v>
      </c>
      <c r="N168" s="11">
        <f>(Table1[[#This Row],[NTE Approved ]]-Table1[[#This Row],[Cost]])/Table1[[#This Row],[Cost]]</f>
        <v>0.75782142857142853</v>
      </c>
      <c r="O168" s="9" t="s">
        <v>625</v>
      </c>
      <c r="P168" s="9" t="s">
        <v>28</v>
      </c>
      <c r="Q168" s="13">
        <v>46038</v>
      </c>
      <c r="R168" s="9"/>
      <c r="S168" s="9"/>
    </row>
    <row r="169" spans="1:153" ht="27" customHeight="1" x14ac:dyDescent="0.3">
      <c r="A169" s="9">
        <v>338495497</v>
      </c>
      <c r="B169" s="9" t="s">
        <v>20</v>
      </c>
      <c r="C169" s="13">
        <v>46041</v>
      </c>
      <c r="D169" s="13">
        <v>46041</v>
      </c>
      <c r="E169" s="9" t="s">
        <v>21</v>
      </c>
      <c r="F169" s="9" t="s">
        <v>45</v>
      </c>
      <c r="G169" s="9" t="s">
        <v>46</v>
      </c>
      <c r="H169" s="9" t="s">
        <v>626</v>
      </c>
      <c r="I169" s="9" t="s">
        <v>627</v>
      </c>
      <c r="J169" s="9" t="s">
        <v>199</v>
      </c>
      <c r="K169" s="14">
        <v>750</v>
      </c>
      <c r="L169" s="14">
        <v>586.20000000000005</v>
      </c>
      <c r="M169" s="14">
        <v>275</v>
      </c>
      <c r="N169" s="11">
        <f>(Table1[[#This Row],[NTE Approved ]]-Table1[[#This Row],[Cost]])/Table1[[#This Row],[Cost]]</f>
        <v>1.1316363636363638</v>
      </c>
      <c r="O169" s="9" t="s">
        <v>628</v>
      </c>
      <c r="P169" s="9" t="s">
        <v>28</v>
      </c>
      <c r="Q169" s="13"/>
      <c r="R169" s="9"/>
      <c r="S169" s="9"/>
    </row>
    <row r="170" spans="1:153" ht="27" customHeight="1" x14ac:dyDescent="0.3">
      <c r="A170" s="9">
        <v>336536089</v>
      </c>
      <c r="B170" s="9" t="s">
        <v>20</v>
      </c>
      <c r="C170" s="13">
        <v>46024</v>
      </c>
      <c r="D170" s="13">
        <v>46024</v>
      </c>
      <c r="E170" s="9" t="s">
        <v>21</v>
      </c>
      <c r="F170" s="9" t="s">
        <v>22</v>
      </c>
      <c r="G170" s="9" t="s">
        <v>629</v>
      </c>
      <c r="H170" s="9" t="s">
        <v>630</v>
      </c>
      <c r="I170" s="9" t="s">
        <v>631</v>
      </c>
      <c r="J170" s="9" t="s">
        <v>26</v>
      </c>
      <c r="K170" s="14">
        <v>750</v>
      </c>
      <c r="L170" s="14">
        <v>500.04</v>
      </c>
      <c r="M170" s="14">
        <v>250</v>
      </c>
      <c r="N170" s="11">
        <f>(Table1[[#This Row],[NTE Approved ]]-Table1[[#This Row],[Cost]])/Table1[[#This Row],[Cost]]</f>
        <v>1.0001600000000002</v>
      </c>
      <c r="O170" s="9" t="s">
        <v>632</v>
      </c>
      <c r="P170" s="9" t="s">
        <v>28</v>
      </c>
      <c r="Q170" s="13"/>
      <c r="R170" s="9"/>
      <c r="S170" s="9"/>
    </row>
    <row r="171" spans="1:153" ht="27" customHeight="1" x14ac:dyDescent="0.3">
      <c r="A171" s="9">
        <v>338015769</v>
      </c>
      <c r="B171" s="9" t="s">
        <v>20</v>
      </c>
      <c r="C171" s="13">
        <v>46037</v>
      </c>
      <c r="D171" s="13">
        <v>46042</v>
      </c>
      <c r="E171" s="9" t="s">
        <v>21</v>
      </c>
      <c r="F171" s="9" t="s">
        <v>22</v>
      </c>
      <c r="G171" s="9" t="s">
        <v>224</v>
      </c>
      <c r="H171" s="9" t="s">
        <v>633</v>
      </c>
      <c r="I171" s="9" t="s">
        <v>634</v>
      </c>
      <c r="J171" s="9" t="s">
        <v>56</v>
      </c>
      <c r="K171" s="14">
        <v>1500</v>
      </c>
      <c r="L171" s="14">
        <v>279.05</v>
      </c>
      <c r="M171" s="14">
        <v>150</v>
      </c>
      <c r="N171" s="11">
        <f>(Table1[[#This Row],[NTE Approved ]]-Table1[[#This Row],[Cost]])/Table1[[#This Row],[Cost]]</f>
        <v>0.86033333333333339</v>
      </c>
      <c r="O171" s="9" t="s">
        <v>635</v>
      </c>
      <c r="P171" s="9" t="s">
        <v>28</v>
      </c>
      <c r="Q171" s="13"/>
      <c r="R171" s="9"/>
      <c r="S171" s="9"/>
    </row>
    <row r="172" spans="1:153" ht="27" customHeight="1" x14ac:dyDescent="0.3">
      <c r="A172" s="9">
        <v>337344330</v>
      </c>
      <c r="B172" s="9" t="s">
        <v>163</v>
      </c>
      <c r="C172" s="13">
        <v>46029</v>
      </c>
      <c r="D172" s="13">
        <v>46035</v>
      </c>
      <c r="E172" s="9" t="s">
        <v>21</v>
      </c>
      <c r="F172" s="9" t="s">
        <v>22</v>
      </c>
      <c r="G172" s="9" t="s">
        <v>92</v>
      </c>
      <c r="H172" s="9" t="s">
        <v>636</v>
      </c>
      <c r="I172" s="9" t="s">
        <v>637</v>
      </c>
      <c r="J172" s="9" t="s">
        <v>104</v>
      </c>
      <c r="K172" s="14">
        <v>750</v>
      </c>
      <c r="L172" s="14">
        <v>2062.9899999999998</v>
      </c>
      <c r="M172" s="14">
        <v>903.58</v>
      </c>
      <c r="N172" s="11">
        <f>(Table1[[#This Row],[NTE Approved ]]-Table1[[#This Row],[Cost]])/Table1[[#This Row],[Cost]]</f>
        <v>1.2831293299984503</v>
      </c>
      <c r="O172" s="9" t="s">
        <v>638</v>
      </c>
      <c r="P172" s="9" t="s">
        <v>28</v>
      </c>
      <c r="Q172" s="13">
        <v>46038</v>
      </c>
      <c r="R172" s="9"/>
      <c r="S172" s="9"/>
    </row>
    <row r="173" spans="1:153" ht="27" customHeight="1" x14ac:dyDescent="0.3">
      <c r="A173" s="9">
        <v>338241607</v>
      </c>
      <c r="B173" s="9" t="s">
        <v>91</v>
      </c>
      <c r="C173" s="13">
        <v>46042</v>
      </c>
      <c r="D173" s="13">
        <v>46044</v>
      </c>
      <c r="E173" s="9" t="s">
        <v>21</v>
      </c>
      <c r="F173" s="9" t="s">
        <v>38</v>
      </c>
      <c r="G173" s="9" t="s">
        <v>639</v>
      </c>
      <c r="H173" s="9" t="s">
        <v>640</v>
      </c>
      <c r="I173" s="9" t="s">
        <v>641</v>
      </c>
      <c r="J173" s="9" t="s">
        <v>26</v>
      </c>
      <c r="K173" s="14">
        <v>500</v>
      </c>
      <c r="L173" s="14">
        <v>399.38</v>
      </c>
      <c r="M173" s="14">
        <v>125</v>
      </c>
      <c r="N173" s="11">
        <f>(Table1[[#This Row],[NTE Approved ]]-Table1[[#This Row],[Cost]])/Table1[[#This Row],[Cost]]</f>
        <v>2.1950400000000001</v>
      </c>
      <c r="O173" s="9" t="s">
        <v>642</v>
      </c>
      <c r="P173" s="9" t="s">
        <v>28</v>
      </c>
      <c r="Q173" s="13"/>
      <c r="R173" s="9"/>
      <c r="S173" s="9"/>
    </row>
    <row r="174" spans="1:153" ht="27" customHeight="1" x14ac:dyDescent="0.3">
      <c r="A174" s="9">
        <v>336532219</v>
      </c>
      <c r="B174" s="9" t="s">
        <v>91</v>
      </c>
      <c r="C174" s="13">
        <v>46027</v>
      </c>
      <c r="D174" s="13">
        <v>46033</v>
      </c>
      <c r="E174" s="9" t="s">
        <v>21</v>
      </c>
      <c r="F174" s="9" t="s">
        <v>361</v>
      </c>
      <c r="G174" s="9" t="s">
        <v>593</v>
      </c>
      <c r="H174" s="9" t="s">
        <v>643</v>
      </c>
      <c r="I174" s="9" t="s">
        <v>644</v>
      </c>
      <c r="J174" s="9" t="s">
        <v>49</v>
      </c>
      <c r="K174" s="14">
        <v>850</v>
      </c>
      <c r="L174" s="14">
        <v>150</v>
      </c>
      <c r="M174" s="14"/>
      <c r="N174" s="11" t="e">
        <f>(Table1[[#This Row],[NTE Approved ]]-Table1[[#This Row],[Cost]])/Table1[[#This Row],[Cost]]</f>
        <v>#DIV/0!</v>
      </c>
      <c r="O174" s="9" t="s">
        <v>645</v>
      </c>
      <c r="P174" s="9" t="s">
        <v>51</v>
      </c>
      <c r="Q174" s="13">
        <v>46031</v>
      </c>
      <c r="R174" s="9"/>
      <c r="S174" s="9"/>
    </row>
    <row r="175" spans="1:153" ht="27" customHeight="1" x14ac:dyDescent="0.3">
      <c r="A175" s="9">
        <v>335349236</v>
      </c>
      <c r="B175" s="9" t="s">
        <v>91</v>
      </c>
      <c r="C175" s="13">
        <v>46009</v>
      </c>
      <c r="D175" s="13">
        <v>46014</v>
      </c>
      <c r="E175" s="9" t="s">
        <v>21</v>
      </c>
      <c r="F175" s="9" t="s">
        <v>30</v>
      </c>
      <c r="G175" s="9" t="s">
        <v>126</v>
      </c>
      <c r="H175" s="9" t="s">
        <v>473</v>
      </c>
      <c r="I175" s="9" t="s">
        <v>646</v>
      </c>
      <c r="J175" s="9" t="s">
        <v>42</v>
      </c>
      <c r="K175" s="14">
        <v>500</v>
      </c>
      <c r="L175" s="14">
        <v>150</v>
      </c>
      <c r="M175" s="14"/>
      <c r="N175" s="11" t="e">
        <f>(Table1[[#This Row],[NTE Approved ]]-Table1[[#This Row],[Cost]])/Table1[[#This Row],[Cost]]</f>
        <v>#DIV/0!</v>
      </c>
      <c r="O175" s="9" t="s">
        <v>647</v>
      </c>
      <c r="P175" s="9" t="s">
        <v>51</v>
      </c>
      <c r="Q175" s="13">
        <v>46049</v>
      </c>
      <c r="R175" s="9"/>
      <c r="S175" s="9"/>
      <c r="V175" s="96" t="s">
        <v>648</v>
      </c>
      <c r="W175" s="96"/>
      <c r="X175" s="96"/>
      <c r="Y175" s="96"/>
      <c r="Z175" s="96"/>
      <c r="AA175" s="96"/>
      <c r="AB175" s="96"/>
    </row>
    <row r="176" spans="1:153" ht="27" customHeight="1" x14ac:dyDescent="0.4">
      <c r="A176" s="20" t="s">
        <v>649</v>
      </c>
      <c r="C176" s="1"/>
      <c r="D176" s="1"/>
      <c r="K176" s="2"/>
      <c r="L176" s="2"/>
      <c r="M176" s="2"/>
      <c r="N176" s="11" t="e">
        <f>(Table1[[#This Row],[NTE Approved ]]-Table1[[#This Row],[Cost]])/Table1[[#This Row],[Cost]]</f>
        <v>#DIV/0!</v>
      </c>
      <c r="Q176" s="1"/>
      <c r="U176" s="9"/>
      <c r="V176" s="7"/>
      <c r="W176" s="83" t="s">
        <v>36</v>
      </c>
      <c r="X176" s="89">
        <f>COUNTIF($P$177:$P$409,"&lt;&gt;")</f>
        <v>233</v>
      </c>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c r="EO176" s="9"/>
      <c r="EP176" s="9"/>
      <c r="EQ176" s="9"/>
      <c r="ER176" s="9"/>
      <c r="ES176" s="9"/>
      <c r="ET176" s="9"/>
      <c r="EU176" s="9"/>
      <c r="EV176" s="9"/>
      <c r="EW176" s="9"/>
    </row>
    <row r="177" spans="1:24" s="9" customFormat="1" ht="27" customHeight="1" x14ac:dyDescent="0.3">
      <c r="A177" s="9">
        <v>334463841</v>
      </c>
      <c r="B177" s="9" t="s">
        <v>125</v>
      </c>
      <c r="C177" s="13">
        <v>46021</v>
      </c>
      <c r="D177" s="13">
        <v>46027</v>
      </c>
      <c r="E177" s="9" t="s">
        <v>21</v>
      </c>
      <c r="F177" s="9" t="s">
        <v>22</v>
      </c>
      <c r="G177" s="9" t="s">
        <v>92</v>
      </c>
      <c r="H177" s="9" t="s">
        <v>650</v>
      </c>
      <c r="I177" s="9" t="s">
        <v>651</v>
      </c>
      <c r="J177" s="9" t="s">
        <v>63</v>
      </c>
      <c r="K177" s="14">
        <v>250</v>
      </c>
      <c r="L177" s="14">
        <v>170</v>
      </c>
      <c r="M177" s="14">
        <v>50</v>
      </c>
      <c r="N177" s="11">
        <f>(Table1[[#This Row],[NTE Approved ]]-Table1[[#This Row],[Cost]])/Table1[[#This Row],[Cost]]</f>
        <v>2.4</v>
      </c>
      <c r="O177" s="9" t="s">
        <v>652</v>
      </c>
      <c r="P177" s="9" t="s">
        <v>51</v>
      </c>
      <c r="Q177" s="13"/>
      <c r="T177" s="8"/>
      <c r="V177" s="7"/>
      <c r="W177" s="84" t="s">
        <v>28</v>
      </c>
      <c r="X177" s="90">
        <f>COUNTIF($P$177:$P$409,"Job Done")</f>
        <v>193</v>
      </c>
    </row>
    <row r="178" spans="1:24" s="9" customFormat="1" ht="27" customHeight="1" x14ac:dyDescent="0.3">
      <c r="A178" s="9">
        <v>336429592</v>
      </c>
      <c r="B178" s="9" t="s">
        <v>91</v>
      </c>
      <c r="C178" s="13">
        <v>46021</v>
      </c>
      <c r="D178" s="13">
        <v>46021</v>
      </c>
      <c r="E178" s="9" t="s">
        <v>21</v>
      </c>
      <c r="F178" s="9" t="s">
        <v>30</v>
      </c>
      <c r="G178" s="9" t="s">
        <v>126</v>
      </c>
      <c r="H178" s="9" t="s">
        <v>653</v>
      </c>
      <c r="I178" s="9" t="s">
        <v>654</v>
      </c>
      <c r="J178" s="9" t="s">
        <v>56</v>
      </c>
      <c r="K178" s="14"/>
      <c r="L178" s="14"/>
      <c r="M178" s="14"/>
      <c r="N178" s="11" t="e">
        <f>(Table1[[#This Row],[NTE Approved ]]-Table1[[#This Row],[Cost]])/Table1[[#This Row],[Cost]]</f>
        <v>#DIV/0!</v>
      </c>
      <c r="O178" s="9" t="s">
        <v>655</v>
      </c>
      <c r="P178" s="9" t="s">
        <v>162</v>
      </c>
      <c r="Q178" s="13"/>
      <c r="T178" s="8"/>
      <c r="V178" s="7"/>
      <c r="W178" s="85" t="s">
        <v>52</v>
      </c>
      <c r="X178" s="91">
        <f>COUNTIF($P$177:$P$409,"*Billed For incurred*")</f>
        <v>22</v>
      </c>
    </row>
    <row r="179" spans="1:24" s="9" customFormat="1" ht="27" customHeight="1" x14ac:dyDescent="0.3">
      <c r="A179" s="9">
        <v>335556637</v>
      </c>
      <c r="B179" s="9" t="s">
        <v>125</v>
      </c>
      <c r="C179" s="13">
        <v>46010</v>
      </c>
      <c r="D179" s="13">
        <v>46013</v>
      </c>
      <c r="E179" s="9" t="s">
        <v>21</v>
      </c>
      <c r="F179" s="9" t="s">
        <v>30</v>
      </c>
      <c r="G179" s="9" t="s">
        <v>656</v>
      </c>
      <c r="H179" s="9" t="s">
        <v>657</v>
      </c>
      <c r="I179" s="9" t="s">
        <v>658</v>
      </c>
      <c r="J179" s="9" t="s">
        <v>339</v>
      </c>
      <c r="K179" s="14">
        <v>750</v>
      </c>
      <c r="L179" s="14">
        <v>743.03</v>
      </c>
      <c r="M179" s="14">
        <v>420</v>
      </c>
      <c r="N179" s="11">
        <f>(Table1[[#This Row],[NTE Approved ]]-Table1[[#This Row],[Cost]])/Table1[[#This Row],[Cost]]</f>
        <v>0.76911904761904759</v>
      </c>
      <c r="O179" s="9" t="s">
        <v>659</v>
      </c>
      <c r="P179" s="9" t="s">
        <v>28</v>
      </c>
      <c r="Q179" s="13">
        <v>46015</v>
      </c>
      <c r="T179" s="8"/>
      <c r="V179" s="7"/>
      <c r="W179" s="86" t="s">
        <v>58</v>
      </c>
      <c r="X179" s="92">
        <f>COUNTIF($P$177:$P$409,"*Canceled No Incurred*")</f>
        <v>18</v>
      </c>
    </row>
    <row r="180" spans="1:24" s="9" customFormat="1" ht="27" customHeight="1" x14ac:dyDescent="0.3">
      <c r="A180" s="9">
        <v>337798328</v>
      </c>
      <c r="B180" s="9" t="s">
        <v>91</v>
      </c>
      <c r="C180" s="13">
        <v>46034</v>
      </c>
      <c r="D180" s="13">
        <v>46034</v>
      </c>
      <c r="E180" s="9" t="s">
        <v>21</v>
      </c>
      <c r="F180" s="9" t="s">
        <v>22</v>
      </c>
      <c r="G180" s="9" t="s">
        <v>92</v>
      </c>
      <c r="H180" s="9" t="s">
        <v>660</v>
      </c>
      <c r="I180" s="9" t="s">
        <v>661</v>
      </c>
      <c r="J180" s="9" t="s">
        <v>100</v>
      </c>
      <c r="K180" s="14">
        <v>750</v>
      </c>
      <c r="L180" s="14">
        <v>1698.53</v>
      </c>
      <c r="M180" s="14">
        <v>950</v>
      </c>
      <c r="N180" s="11">
        <f>(Table1[[#This Row],[NTE Approved ]]-Table1[[#This Row],[Cost]])/Table1[[#This Row],[Cost]]</f>
        <v>0.7879263157894737</v>
      </c>
      <c r="O180" s="9" t="s">
        <v>662</v>
      </c>
      <c r="P180" s="9" t="s">
        <v>28</v>
      </c>
      <c r="Q180" s="13">
        <v>46045</v>
      </c>
      <c r="T180" s="8"/>
      <c r="W180" s="87" t="s">
        <v>663</v>
      </c>
      <c r="X180" s="93">
        <f>X177/X176</f>
        <v>0.8283261802575107</v>
      </c>
    </row>
    <row r="181" spans="1:24" s="9" customFormat="1" ht="27" customHeight="1" x14ac:dyDescent="0.3">
      <c r="A181" s="9">
        <v>338872295</v>
      </c>
      <c r="B181" s="9" t="s">
        <v>20</v>
      </c>
      <c r="C181" s="13">
        <v>46045</v>
      </c>
      <c r="D181" s="13">
        <v>46045</v>
      </c>
      <c r="E181" s="9" t="s">
        <v>21</v>
      </c>
      <c r="F181" s="9" t="s">
        <v>59</v>
      </c>
      <c r="G181" s="9" t="s">
        <v>664</v>
      </c>
      <c r="H181" s="9" t="s">
        <v>486</v>
      </c>
      <c r="I181" s="9" t="s">
        <v>487</v>
      </c>
      <c r="J181" s="9" t="s">
        <v>311</v>
      </c>
      <c r="K181" s="14"/>
      <c r="L181" s="14">
        <v>483.6</v>
      </c>
      <c r="M181" s="14">
        <v>275</v>
      </c>
      <c r="N181" s="11">
        <f>(Table1[[#This Row],[NTE Approved ]]-Table1[[#This Row],[Cost]])/Table1[[#This Row],[Cost]]</f>
        <v>0.75854545454545463</v>
      </c>
      <c r="O181" s="9" t="s">
        <v>665</v>
      </c>
      <c r="P181" s="9" t="s">
        <v>28</v>
      </c>
      <c r="Q181" s="13"/>
      <c r="T181" s="8"/>
      <c r="W181" s="83" t="s">
        <v>666</v>
      </c>
      <c r="X181" s="94">
        <f>X178/X176</f>
        <v>9.4420600858369105E-2</v>
      </c>
    </row>
    <row r="182" spans="1:24" s="9" customFormat="1" ht="27" customHeight="1" x14ac:dyDescent="0.3">
      <c r="A182" s="9">
        <v>339121726</v>
      </c>
      <c r="B182" s="9" t="s">
        <v>163</v>
      </c>
      <c r="C182" s="13">
        <v>46048</v>
      </c>
      <c r="D182" s="13">
        <v>46048</v>
      </c>
      <c r="E182" s="9" t="s">
        <v>21</v>
      </c>
      <c r="F182" s="9" t="s">
        <v>45</v>
      </c>
      <c r="G182" s="9" t="s">
        <v>667</v>
      </c>
      <c r="H182" s="9" t="s">
        <v>668</v>
      </c>
      <c r="I182" s="9" t="s">
        <v>669</v>
      </c>
      <c r="J182" s="9" t="s">
        <v>235</v>
      </c>
      <c r="K182" s="14">
        <v>750</v>
      </c>
      <c r="L182" s="14">
        <v>607.5</v>
      </c>
      <c r="M182" s="14">
        <v>200</v>
      </c>
      <c r="N182" s="11">
        <f>(Table1[[#This Row],[NTE Approved ]]-Table1[[#This Row],[Cost]])/Table1[[#This Row],[Cost]]</f>
        <v>2.0375000000000001</v>
      </c>
      <c r="O182" s="9" t="s">
        <v>670</v>
      </c>
      <c r="P182" s="9" t="s">
        <v>28</v>
      </c>
      <c r="Q182" s="13"/>
      <c r="T182" s="8"/>
      <c r="W182" s="88" t="s">
        <v>671</v>
      </c>
      <c r="X182" s="95">
        <f>X179/X176</f>
        <v>7.7253218884120178E-2</v>
      </c>
    </row>
    <row r="183" spans="1:24" s="9" customFormat="1" ht="27" customHeight="1" x14ac:dyDescent="0.3">
      <c r="A183" s="9">
        <v>336531835</v>
      </c>
      <c r="B183" s="9" t="s">
        <v>29</v>
      </c>
      <c r="C183" s="13">
        <v>46027</v>
      </c>
      <c r="D183" s="13">
        <v>46032</v>
      </c>
      <c r="E183" s="9" t="s">
        <v>21</v>
      </c>
      <c r="F183" s="9" t="s">
        <v>22</v>
      </c>
      <c r="G183" s="9" t="s">
        <v>224</v>
      </c>
      <c r="H183" s="9" t="s">
        <v>333</v>
      </c>
      <c r="I183" s="9" t="s">
        <v>334</v>
      </c>
      <c r="J183" s="9" t="s">
        <v>49</v>
      </c>
      <c r="K183" s="14">
        <v>750</v>
      </c>
      <c r="L183" s="14">
        <v>547.22</v>
      </c>
      <c r="M183" s="14">
        <v>312.48</v>
      </c>
      <c r="N183" s="11">
        <f>(Table1[[#This Row],[NTE Approved ]]-Table1[[#This Row],[Cost]])/Table1[[#This Row],[Cost]]</f>
        <v>0.75121607782898103</v>
      </c>
      <c r="O183" s="9" t="s">
        <v>672</v>
      </c>
      <c r="P183" s="9" t="s">
        <v>28</v>
      </c>
      <c r="Q183" s="13"/>
      <c r="T183" s="8"/>
    </row>
    <row r="184" spans="1:24" s="9" customFormat="1" ht="27" customHeight="1" x14ac:dyDescent="0.3">
      <c r="A184" s="9">
        <v>337882098</v>
      </c>
      <c r="B184" s="9" t="s">
        <v>125</v>
      </c>
      <c r="C184" s="13">
        <v>46035</v>
      </c>
      <c r="D184" s="13">
        <v>46035</v>
      </c>
      <c r="E184" s="9" t="s">
        <v>21</v>
      </c>
      <c r="F184" s="9" t="s">
        <v>59</v>
      </c>
      <c r="G184" s="9" t="s">
        <v>60</v>
      </c>
      <c r="H184" s="9" t="s">
        <v>673</v>
      </c>
      <c r="I184" s="9" t="s">
        <v>674</v>
      </c>
      <c r="J184" s="9" t="s">
        <v>199</v>
      </c>
      <c r="K184" s="14"/>
      <c r="L184" s="14">
        <v>461.43</v>
      </c>
      <c r="M184" s="14">
        <v>275</v>
      </c>
      <c r="N184" s="11">
        <f>(Table1[[#This Row],[NTE Approved ]]-Table1[[#This Row],[Cost]])/Table1[[#This Row],[Cost]]</f>
        <v>0.67792727272727271</v>
      </c>
      <c r="O184" s="9" t="s">
        <v>675</v>
      </c>
      <c r="P184" s="9" t="s">
        <v>28</v>
      </c>
      <c r="Q184" s="13">
        <v>46043</v>
      </c>
      <c r="T184" s="8"/>
    </row>
    <row r="185" spans="1:24" s="9" customFormat="1" ht="27" customHeight="1" x14ac:dyDescent="0.3">
      <c r="A185" s="9">
        <v>338133376</v>
      </c>
      <c r="B185" s="9" t="s">
        <v>29</v>
      </c>
      <c r="C185" s="13">
        <v>46037</v>
      </c>
      <c r="D185" s="13">
        <v>46042</v>
      </c>
      <c r="E185" s="9" t="s">
        <v>21</v>
      </c>
      <c r="F185" s="9" t="s">
        <v>38</v>
      </c>
      <c r="G185" s="9" t="s">
        <v>433</v>
      </c>
      <c r="H185" s="9" t="s">
        <v>676</v>
      </c>
      <c r="I185" s="9" t="s">
        <v>677</v>
      </c>
      <c r="J185" s="9" t="s">
        <v>290</v>
      </c>
      <c r="K185" s="14">
        <v>750</v>
      </c>
      <c r="L185" s="14">
        <v>1420.78</v>
      </c>
      <c r="M185" s="14">
        <v>676.3</v>
      </c>
      <c r="N185" s="11">
        <f>(Table1[[#This Row],[NTE Approved ]]-Table1[[#This Row],[Cost]])/Table1[[#This Row],[Cost]]</f>
        <v>1.1008132485583322</v>
      </c>
      <c r="O185" s="9" t="s">
        <v>678</v>
      </c>
      <c r="P185" s="9" t="s">
        <v>28</v>
      </c>
      <c r="Q185" s="13">
        <v>46042</v>
      </c>
      <c r="T185" s="8"/>
    </row>
    <row r="186" spans="1:24" s="9" customFormat="1" ht="27" customHeight="1" x14ac:dyDescent="0.3">
      <c r="A186" s="9">
        <v>338868935</v>
      </c>
      <c r="B186" s="9" t="s">
        <v>73</v>
      </c>
      <c r="C186" s="13">
        <v>46045</v>
      </c>
      <c r="D186" s="13">
        <v>46047</v>
      </c>
      <c r="E186" s="9" t="s">
        <v>21</v>
      </c>
      <c r="F186" s="9" t="s">
        <v>30</v>
      </c>
      <c r="G186" s="9" t="s">
        <v>126</v>
      </c>
      <c r="H186" s="9" t="s">
        <v>558</v>
      </c>
      <c r="I186" s="9" t="s">
        <v>559</v>
      </c>
      <c r="J186" s="9" t="s">
        <v>206</v>
      </c>
      <c r="K186" s="14">
        <v>550</v>
      </c>
      <c r="L186" s="14">
        <v>321</v>
      </c>
      <c r="M186" s="14">
        <v>123.9</v>
      </c>
      <c r="N186" s="11">
        <f>(Table1[[#This Row],[NTE Approved ]]-Table1[[#This Row],[Cost]])/Table1[[#This Row],[Cost]]</f>
        <v>1.5907990314769975</v>
      </c>
      <c r="O186" s="9" t="s">
        <v>679</v>
      </c>
      <c r="P186" s="9" t="s">
        <v>28</v>
      </c>
      <c r="Q186" s="13"/>
      <c r="T186" s="8"/>
    </row>
    <row r="187" spans="1:24" s="9" customFormat="1" ht="27" customHeight="1" x14ac:dyDescent="0.3">
      <c r="A187" s="9">
        <v>339322858</v>
      </c>
      <c r="B187" s="9" t="s">
        <v>91</v>
      </c>
      <c r="C187" s="13">
        <v>46049</v>
      </c>
      <c r="D187" s="13">
        <v>46049</v>
      </c>
      <c r="E187" s="9" t="s">
        <v>21</v>
      </c>
      <c r="F187" s="9" t="s">
        <v>59</v>
      </c>
      <c r="G187" s="9" t="s">
        <v>237</v>
      </c>
      <c r="H187" s="9" t="s">
        <v>680</v>
      </c>
      <c r="I187" s="9" t="s">
        <v>681</v>
      </c>
      <c r="J187" s="9" t="s">
        <v>34</v>
      </c>
      <c r="K187" s="14">
        <v>800</v>
      </c>
      <c r="L187" s="14">
        <v>779.58</v>
      </c>
      <c r="M187" s="14">
        <v>239.29</v>
      </c>
      <c r="N187" s="11">
        <f>(Table1[[#This Row],[NTE Approved ]]-Table1[[#This Row],[Cost]])/Table1[[#This Row],[Cost]]</f>
        <v>2.2578879184253422</v>
      </c>
      <c r="O187" s="9" t="s">
        <v>682</v>
      </c>
      <c r="P187" s="9" t="s">
        <v>28</v>
      </c>
      <c r="Q187" s="13"/>
      <c r="T187" s="8"/>
    </row>
    <row r="188" spans="1:24" s="9" customFormat="1" ht="27" customHeight="1" x14ac:dyDescent="0.3">
      <c r="A188" s="9">
        <v>339131170</v>
      </c>
      <c r="B188" s="9" t="s">
        <v>125</v>
      </c>
      <c r="C188" s="13">
        <v>46049</v>
      </c>
      <c r="D188" s="13">
        <v>46051</v>
      </c>
      <c r="E188" s="9" t="s">
        <v>21</v>
      </c>
      <c r="F188" s="9" t="s">
        <v>38</v>
      </c>
      <c r="G188" s="9" t="s">
        <v>433</v>
      </c>
      <c r="H188" s="9" t="s">
        <v>683</v>
      </c>
      <c r="I188" s="9" t="s">
        <v>684</v>
      </c>
      <c r="J188" s="9" t="s">
        <v>56</v>
      </c>
      <c r="K188" s="14">
        <v>550</v>
      </c>
      <c r="L188" s="14">
        <v>263.92</v>
      </c>
      <c r="M188" s="14">
        <v>80</v>
      </c>
      <c r="N188" s="11">
        <f>(Table1[[#This Row],[NTE Approved ]]-Table1[[#This Row],[Cost]])/Table1[[#This Row],[Cost]]</f>
        <v>2.2990000000000004</v>
      </c>
      <c r="O188" s="9" t="s">
        <v>685</v>
      </c>
      <c r="P188" s="9" t="s">
        <v>28</v>
      </c>
      <c r="Q188" s="13"/>
      <c r="T188" s="8"/>
    </row>
    <row r="189" spans="1:24" s="9" customFormat="1" ht="27" customHeight="1" x14ac:dyDescent="0.3">
      <c r="A189" s="9">
        <v>337891648</v>
      </c>
      <c r="B189" s="9" t="s">
        <v>73</v>
      </c>
      <c r="C189" s="13">
        <v>46035</v>
      </c>
      <c r="D189" s="13">
        <v>46035</v>
      </c>
      <c r="E189" s="9" t="s">
        <v>21</v>
      </c>
      <c r="F189" s="9" t="s">
        <v>59</v>
      </c>
      <c r="G189" s="9" t="s">
        <v>472</v>
      </c>
      <c r="H189" s="9" t="s">
        <v>584</v>
      </c>
      <c r="I189" s="9" t="s">
        <v>585</v>
      </c>
      <c r="J189" s="9" t="s">
        <v>132</v>
      </c>
      <c r="K189" s="14">
        <v>800</v>
      </c>
      <c r="L189" s="14">
        <v>1144.9100000000001</v>
      </c>
      <c r="M189" s="14">
        <v>515</v>
      </c>
      <c r="N189" s="11">
        <f>(Table1[[#This Row],[NTE Approved ]]-Table1[[#This Row],[Cost]])/Table1[[#This Row],[Cost]]</f>
        <v>1.2231262135922332</v>
      </c>
      <c r="O189" s="9" t="s">
        <v>686</v>
      </c>
      <c r="P189" s="9" t="s">
        <v>28</v>
      </c>
      <c r="Q189" s="13">
        <v>46037</v>
      </c>
      <c r="T189" s="8"/>
    </row>
    <row r="190" spans="1:24" s="9" customFormat="1" ht="27" customHeight="1" x14ac:dyDescent="0.3">
      <c r="A190" s="9">
        <v>339179578</v>
      </c>
      <c r="B190" s="9" t="s">
        <v>163</v>
      </c>
      <c r="C190" s="13">
        <v>46048</v>
      </c>
      <c r="D190" s="13">
        <v>46049</v>
      </c>
      <c r="E190" s="9" t="s">
        <v>21</v>
      </c>
      <c r="F190" s="9" t="s">
        <v>59</v>
      </c>
      <c r="G190" s="9" t="s">
        <v>116</v>
      </c>
      <c r="H190" s="9" t="s">
        <v>687</v>
      </c>
      <c r="I190" s="9" t="s">
        <v>242</v>
      </c>
      <c r="J190" s="9" t="s">
        <v>195</v>
      </c>
      <c r="K190" s="14">
        <v>700</v>
      </c>
      <c r="L190" s="14">
        <v>326.25</v>
      </c>
      <c r="M190" s="14">
        <v>45</v>
      </c>
      <c r="N190" s="11">
        <f>(Table1[[#This Row],[NTE Approved ]]-Table1[[#This Row],[Cost]])/Table1[[#This Row],[Cost]]</f>
        <v>6.25</v>
      </c>
      <c r="O190" s="9" t="s">
        <v>688</v>
      </c>
      <c r="P190" s="9" t="s">
        <v>28</v>
      </c>
      <c r="Q190" s="13"/>
      <c r="T190" s="8"/>
    </row>
    <row r="191" spans="1:24" s="9" customFormat="1" ht="27" customHeight="1" x14ac:dyDescent="0.3">
      <c r="A191" s="9">
        <v>339380945</v>
      </c>
      <c r="B191" s="9" t="s">
        <v>163</v>
      </c>
      <c r="C191" s="13">
        <v>46050</v>
      </c>
      <c r="D191" s="13">
        <v>46050</v>
      </c>
      <c r="E191" s="9" t="s">
        <v>21</v>
      </c>
      <c r="F191" s="9" t="s">
        <v>59</v>
      </c>
      <c r="G191" s="9" t="s">
        <v>664</v>
      </c>
      <c r="H191" s="9" t="s">
        <v>689</v>
      </c>
      <c r="I191" s="9" t="s">
        <v>690</v>
      </c>
      <c r="J191" s="9" t="s">
        <v>132</v>
      </c>
      <c r="K191" s="14">
        <v>650</v>
      </c>
      <c r="L191" s="14">
        <v>613.4</v>
      </c>
      <c r="M191" s="14">
        <v>300</v>
      </c>
      <c r="N191" s="11">
        <f>(Table1[[#This Row],[NTE Approved ]]-Table1[[#This Row],[Cost]])/Table1[[#This Row],[Cost]]</f>
        <v>1.0446666666666666</v>
      </c>
      <c r="O191" s="9" t="s">
        <v>691</v>
      </c>
      <c r="P191" s="9" t="s">
        <v>28</v>
      </c>
      <c r="Q191" s="13"/>
      <c r="T191" s="8"/>
    </row>
    <row r="192" spans="1:24" s="9" customFormat="1" ht="27" customHeight="1" x14ac:dyDescent="0.3">
      <c r="A192" s="9">
        <v>338469432</v>
      </c>
      <c r="B192" s="9" t="s">
        <v>163</v>
      </c>
      <c r="C192" s="13">
        <v>46050</v>
      </c>
      <c r="D192" s="13">
        <v>46052</v>
      </c>
      <c r="E192" s="9" t="s">
        <v>21</v>
      </c>
      <c r="F192" s="9" t="s">
        <v>22</v>
      </c>
      <c r="G192" s="9" t="s">
        <v>692</v>
      </c>
      <c r="H192" s="9" t="s">
        <v>693</v>
      </c>
      <c r="I192" s="9" t="s">
        <v>694</v>
      </c>
      <c r="J192" s="9" t="s">
        <v>235</v>
      </c>
      <c r="K192" s="14">
        <v>750</v>
      </c>
      <c r="L192" s="14">
        <v>388.8</v>
      </c>
      <c r="M192" s="14">
        <v>220</v>
      </c>
      <c r="N192" s="11">
        <f>(Table1[[#This Row],[NTE Approved ]]-Table1[[#This Row],[Cost]])/Table1[[#This Row],[Cost]]</f>
        <v>0.76727272727272733</v>
      </c>
      <c r="O192" s="9" t="s">
        <v>695</v>
      </c>
      <c r="P192" s="9" t="s">
        <v>28</v>
      </c>
      <c r="Q192" s="13"/>
      <c r="T192" s="8"/>
    </row>
    <row r="193" spans="1:153" s="9" customFormat="1" ht="27" customHeight="1" x14ac:dyDescent="0.3">
      <c r="A193" s="9">
        <v>339325570</v>
      </c>
      <c r="B193" s="9" t="s">
        <v>73</v>
      </c>
      <c r="C193" s="13">
        <v>46049</v>
      </c>
      <c r="D193" s="13">
        <v>46050</v>
      </c>
      <c r="E193" s="9" t="s">
        <v>21</v>
      </c>
      <c r="F193" s="9" t="s">
        <v>59</v>
      </c>
      <c r="G193" s="9" t="s">
        <v>60</v>
      </c>
      <c r="H193" s="9" t="s">
        <v>696</v>
      </c>
      <c r="I193" s="9" t="s">
        <v>697</v>
      </c>
      <c r="J193" s="9" t="s">
        <v>132</v>
      </c>
      <c r="K193" s="14">
        <v>750</v>
      </c>
      <c r="L193" s="14">
        <v>403.47</v>
      </c>
      <c r="M193" s="14">
        <v>225</v>
      </c>
      <c r="N193" s="11">
        <f>(Table1[[#This Row],[NTE Approved ]]-Table1[[#This Row],[Cost]])/Table1[[#This Row],[Cost]]</f>
        <v>0.79320000000000013</v>
      </c>
      <c r="O193" s="9" t="s">
        <v>698</v>
      </c>
      <c r="P193" s="9" t="s">
        <v>28</v>
      </c>
      <c r="Q193" s="13"/>
      <c r="T193" s="8"/>
    </row>
    <row r="194" spans="1:153" s="9" customFormat="1" ht="27" customHeight="1" x14ac:dyDescent="0.3">
      <c r="A194" s="9">
        <v>337888777</v>
      </c>
      <c r="B194" s="9" t="s">
        <v>29</v>
      </c>
      <c r="C194" s="13">
        <v>46037</v>
      </c>
      <c r="D194" s="13">
        <v>46042</v>
      </c>
      <c r="E194" s="9" t="s">
        <v>21</v>
      </c>
      <c r="F194" s="9" t="s">
        <v>38</v>
      </c>
      <c r="G194" s="9" t="s">
        <v>699</v>
      </c>
      <c r="H194" s="9" t="s">
        <v>700</v>
      </c>
      <c r="I194" s="9" t="s">
        <v>701</v>
      </c>
      <c r="J194" s="9" t="s">
        <v>63</v>
      </c>
      <c r="K194" s="14">
        <v>750</v>
      </c>
      <c r="L194" s="14">
        <v>839.82</v>
      </c>
      <c r="M194" s="14">
        <v>435</v>
      </c>
      <c r="N194" s="11">
        <f>(Table1[[#This Row],[NTE Approved ]]-Table1[[#This Row],[Cost]])/Table1[[#This Row],[Cost]]</f>
        <v>0.93062068965517253</v>
      </c>
      <c r="O194" s="9" t="s">
        <v>702</v>
      </c>
      <c r="P194" s="9" t="s">
        <v>28</v>
      </c>
      <c r="Q194" s="13">
        <v>46041</v>
      </c>
      <c r="T194" s="8"/>
    </row>
    <row r="195" spans="1:153" s="9" customFormat="1" ht="27" customHeight="1" x14ac:dyDescent="0.3">
      <c r="A195" s="9">
        <v>333091222</v>
      </c>
      <c r="B195" s="9" t="s">
        <v>91</v>
      </c>
      <c r="C195" s="13">
        <v>45979</v>
      </c>
      <c r="D195" s="13">
        <v>45993</v>
      </c>
      <c r="E195" s="9" t="s">
        <v>21</v>
      </c>
      <c r="F195" s="9" t="s">
        <v>38</v>
      </c>
      <c r="G195" s="9" t="s">
        <v>703</v>
      </c>
      <c r="H195" s="9" t="s">
        <v>704</v>
      </c>
      <c r="I195" s="9" t="s">
        <v>474</v>
      </c>
      <c r="J195" s="9" t="s">
        <v>216</v>
      </c>
      <c r="K195" s="14">
        <v>9982.4</v>
      </c>
      <c r="L195" s="14"/>
      <c r="M195" s="14"/>
      <c r="N195" s="11" t="e">
        <f>(Table1[[#This Row],[NTE Approved ]]-Table1[[#This Row],[Cost]])/Table1[[#This Row],[Cost]]</f>
        <v>#DIV/0!</v>
      </c>
      <c r="O195" s="9" t="s">
        <v>705</v>
      </c>
      <c r="P195" s="9" t="s">
        <v>162</v>
      </c>
      <c r="Q195" s="13">
        <v>46015</v>
      </c>
      <c r="R195" s="9" t="s">
        <v>68</v>
      </c>
      <c r="T195" s="8"/>
    </row>
    <row r="196" spans="1:153" s="9" customFormat="1" ht="27" customHeight="1" x14ac:dyDescent="0.3">
      <c r="A196" s="9">
        <v>337600142</v>
      </c>
      <c r="B196" s="9" t="s">
        <v>163</v>
      </c>
      <c r="C196" s="13">
        <v>46038</v>
      </c>
      <c r="D196" s="13">
        <v>46043</v>
      </c>
      <c r="E196" s="9" t="s">
        <v>21</v>
      </c>
      <c r="F196" s="9" t="s">
        <v>22</v>
      </c>
      <c r="G196" s="9" t="s">
        <v>336</v>
      </c>
      <c r="H196" s="9" t="s">
        <v>706</v>
      </c>
      <c r="I196" s="9" t="s">
        <v>707</v>
      </c>
      <c r="J196" s="9" t="s">
        <v>104</v>
      </c>
      <c r="K196" s="14">
        <v>750</v>
      </c>
      <c r="L196" s="14">
        <v>6048.19</v>
      </c>
      <c r="M196" s="14">
        <v>3200</v>
      </c>
      <c r="N196" s="11">
        <f>(Table1[[#This Row],[NTE Approved ]]-Table1[[#This Row],[Cost]])/Table1[[#This Row],[Cost]]</f>
        <v>0.89005937499999987</v>
      </c>
      <c r="O196" s="9" t="s">
        <v>708</v>
      </c>
      <c r="P196" s="9" t="s">
        <v>28</v>
      </c>
      <c r="Q196" s="13">
        <v>46048</v>
      </c>
      <c r="T196" s="8"/>
    </row>
    <row r="197" spans="1:153" s="9" customFormat="1" ht="27" customHeight="1" x14ac:dyDescent="0.3">
      <c r="A197" s="9">
        <v>339319123</v>
      </c>
      <c r="B197" s="9" t="s">
        <v>91</v>
      </c>
      <c r="C197" s="13">
        <v>46049</v>
      </c>
      <c r="D197" s="13">
        <v>46051</v>
      </c>
      <c r="E197" s="9" t="s">
        <v>21</v>
      </c>
      <c r="F197" s="9" t="s">
        <v>22</v>
      </c>
      <c r="G197" s="9" t="s">
        <v>709</v>
      </c>
      <c r="H197" s="9" t="s">
        <v>710</v>
      </c>
      <c r="I197" s="9" t="s">
        <v>711</v>
      </c>
      <c r="J197" s="9" t="s">
        <v>42</v>
      </c>
      <c r="K197" s="14">
        <v>1500</v>
      </c>
      <c r="L197" s="14">
        <v>2468.0500000000002</v>
      </c>
      <c r="M197" s="14">
        <v>1400</v>
      </c>
      <c r="N197" s="11">
        <f>(Table1[[#This Row],[NTE Approved ]]-Table1[[#This Row],[Cost]])/Table1[[#This Row],[Cost]]</f>
        <v>0.76289285714285726</v>
      </c>
      <c r="O197" s="9" t="s">
        <v>712</v>
      </c>
      <c r="P197" s="9" t="s">
        <v>28</v>
      </c>
      <c r="Q197" s="13"/>
      <c r="T197" s="8"/>
    </row>
    <row r="198" spans="1:153" s="9" customFormat="1" ht="27" customHeight="1" x14ac:dyDescent="0.3">
      <c r="A198" s="9">
        <v>336764583</v>
      </c>
      <c r="B198" s="9" t="s">
        <v>163</v>
      </c>
      <c r="C198" s="13">
        <v>46024</v>
      </c>
      <c r="D198" s="13">
        <v>46026</v>
      </c>
      <c r="E198" s="9" t="s">
        <v>21</v>
      </c>
      <c r="F198" s="9" t="s">
        <v>22</v>
      </c>
      <c r="G198" s="9" t="s">
        <v>92</v>
      </c>
      <c r="H198" s="9" t="s">
        <v>241</v>
      </c>
      <c r="I198" s="9" t="s">
        <v>242</v>
      </c>
      <c r="J198" s="9" t="s">
        <v>195</v>
      </c>
      <c r="K198" s="14">
        <v>550</v>
      </c>
      <c r="L198" s="14">
        <v>694.56</v>
      </c>
      <c r="M198" s="14">
        <v>385</v>
      </c>
      <c r="N198" s="11">
        <f>(Table1[[#This Row],[NTE Approved ]]-Table1[[#This Row],[Cost]])/Table1[[#This Row],[Cost]]</f>
        <v>0.80405194805194791</v>
      </c>
      <c r="O198" s="9" t="s">
        <v>713</v>
      </c>
      <c r="P198" s="9" t="s">
        <v>28</v>
      </c>
      <c r="Q198" s="13">
        <v>46050</v>
      </c>
      <c r="R198" s="9" t="s">
        <v>68</v>
      </c>
      <c r="T198" s="8"/>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row>
    <row r="199" spans="1:153" s="7" customFormat="1" ht="27" customHeight="1" x14ac:dyDescent="0.3">
      <c r="A199" s="7">
        <v>339848361</v>
      </c>
      <c r="B199" s="7" t="s">
        <v>80</v>
      </c>
      <c r="C199" s="8">
        <v>46055</v>
      </c>
      <c r="D199" s="8">
        <v>46055</v>
      </c>
      <c r="E199" s="9" t="s">
        <v>21</v>
      </c>
      <c r="F199" s="7" t="s">
        <v>59</v>
      </c>
      <c r="G199" s="7" t="s">
        <v>472</v>
      </c>
      <c r="H199" s="9" t="s">
        <v>714</v>
      </c>
      <c r="I199" s="7" t="s">
        <v>715</v>
      </c>
      <c r="J199" s="7" t="s">
        <v>144</v>
      </c>
      <c r="K199" s="10">
        <v>350</v>
      </c>
      <c r="L199" s="10">
        <v>979.61</v>
      </c>
      <c r="M199" s="10">
        <v>550</v>
      </c>
      <c r="N199" s="11">
        <f>(Table1[[#This Row],[NTE Approved ]]-Table1[[#This Row],[Cost]])/Table1[[#This Row],[Cost]]</f>
        <v>0.78110909090909098</v>
      </c>
      <c r="O199" s="7" t="s">
        <v>716</v>
      </c>
      <c r="P199" s="7" t="s">
        <v>28</v>
      </c>
      <c r="Q199" s="8"/>
      <c r="T199" s="8"/>
    </row>
    <row r="200" spans="1:153" s="7" customFormat="1" ht="27" customHeight="1" x14ac:dyDescent="0.3">
      <c r="A200" s="7">
        <v>336311358</v>
      </c>
      <c r="B200" s="7" t="s">
        <v>125</v>
      </c>
      <c r="C200" s="8">
        <v>46020</v>
      </c>
      <c r="D200" s="8">
        <v>46022</v>
      </c>
      <c r="E200" s="9" t="s">
        <v>21</v>
      </c>
      <c r="F200" s="7" t="s">
        <v>38</v>
      </c>
      <c r="G200" s="7" t="s">
        <v>717</v>
      </c>
      <c r="H200" s="9" t="s">
        <v>718</v>
      </c>
      <c r="I200" s="7" t="s">
        <v>719</v>
      </c>
      <c r="J200" s="7" t="s">
        <v>311</v>
      </c>
      <c r="K200" s="10"/>
      <c r="L200" s="10">
        <v>582.4</v>
      </c>
      <c r="M200" s="10">
        <v>250</v>
      </c>
      <c r="N200" s="11">
        <f>(Table1[[#This Row],[NTE Approved ]]-Table1[[#This Row],[Cost]])/Table1[[#This Row],[Cost]]</f>
        <v>1.3295999999999999</v>
      </c>
      <c r="O200" s="9" t="s">
        <v>720</v>
      </c>
      <c r="P200" s="7" t="s">
        <v>28</v>
      </c>
      <c r="Q200" s="8">
        <v>46034</v>
      </c>
      <c r="R200" s="7" t="s">
        <v>68</v>
      </c>
      <c r="T200" s="8"/>
    </row>
    <row r="201" spans="1:153" s="7" customFormat="1" ht="27" customHeight="1" x14ac:dyDescent="0.3">
      <c r="A201" s="7">
        <v>337598301</v>
      </c>
      <c r="B201" s="7" t="s">
        <v>163</v>
      </c>
      <c r="C201" s="8">
        <v>46031</v>
      </c>
      <c r="D201" s="8">
        <v>46034</v>
      </c>
      <c r="E201" s="9" t="s">
        <v>21</v>
      </c>
      <c r="F201" s="7" t="s">
        <v>30</v>
      </c>
      <c r="G201" s="7" t="s">
        <v>126</v>
      </c>
      <c r="H201" s="9" t="s">
        <v>193</v>
      </c>
      <c r="I201" s="7" t="s">
        <v>194</v>
      </c>
      <c r="J201" s="7" t="s">
        <v>195</v>
      </c>
      <c r="K201" s="10"/>
      <c r="L201" s="10">
        <v>1671.84</v>
      </c>
      <c r="M201" s="10">
        <v>370</v>
      </c>
      <c r="N201" s="11">
        <f>(Table1[[#This Row],[NTE Approved ]]-Table1[[#This Row],[Cost]])/Table1[[#This Row],[Cost]]</f>
        <v>3.5184864864864864</v>
      </c>
      <c r="O201" s="7" t="s">
        <v>721</v>
      </c>
      <c r="P201" s="7" t="s">
        <v>28</v>
      </c>
      <c r="Q201" s="8"/>
      <c r="T201" s="8"/>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c r="DA201" s="9"/>
      <c r="DB201" s="9"/>
      <c r="DC201" s="9"/>
      <c r="DD201" s="9"/>
      <c r="DE201" s="9"/>
      <c r="DF201" s="9"/>
      <c r="DG201" s="9"/>
      <c r="DH201" s="9"/>
      <c r="DI201" s="9"/>
      <c r="DJ201" s="9"/>
      <c r="DK201" s="9"/>
      <c r="DL201" s="9"/>
      <c r="DM201" s="9"/>
      <c r="DN201" s="9"/>
      <c r="DO201" s="9"/>
      <c r="DP201" s="9"/>
      <c r="DQ201" s="9"/>
      <c r="DR201" s="9"/>
      <c r="DS201" s="9"/>
      <c r="DT201" s="9"/>
      <c r="DU201" s="9"/>
      <c r="DV201" s="9"/>
      <c r="DW201" s="9"/>
      <c r="DX201" s="9"/>
      <c r="DY201" s="9"/>
      <c r="DZ201" s="9"/>
      <c r="EA201" s="9"/>
      <c r="EB201" s="9"/>
      <c r="EC201" s="9"/>
      <c r="ED201" s="9"/>
      <c r="EE201" s="9"/>
      <c r="EF201" s="9"/>
      <c r="EG201" s="9"/>
      <c r="EH201" s="9"/>
      <c r="EI201" s="9"/>
      <c r="EJ201" s="9"/>
      <c r="EK201" s="9"/>
      <c r="EL201" s="9"/>
      <c r="EM201" s="9"/>
      <c r="EN201" s="9"/>
      <c r="EO201" s="9"/>
      <c r="EP201" s="9"/>
      <c r="EQ201" s="9"/>
      <c r="ER201" s="9"/>
      <c r="ES201" s="9"/>
      <c r="ET201" s="9"/>
      <c r="EU201" s="9"/>
      <c r="EV201" s="9"/>
      <c r="EW201" s="9"/>
    </row>
    <row r="202" spans="1:153" s="9" customFormat="1" ht="27" customHeight="1" x14ac:dyDescent="0.3">
      <c r="A202" s="9">
        <v>337412499</v>
      </c>
      <c r="B202" s="9" t="s">
        <v>163</v>
      </c>
      <c r="C202" s="13">
        <v>46030</v>
      </c>
      <c r="D202" s="13">
        <v>46031</v>
      </c>
      <c r="E202" s="9" t="s">
        <v>21</v>
      </c>
      <c r="F202" s="9" t="s">
        <v>30</v>
      </c>
      <c r="G202" s="9" t="s">
        <v>126</v>
      </c>
      <c r="H202" s="9" t="s">
        <v>722</v>
      </c>
      <c r="I202" s="9" t="s">
        <v>723</v>
      </c>
      <c r="J202" s="9" t="s">
        <v>195</v>
      </c>
      <c r="K202" s="14">
        <v>750</v>
      </c>
      <c r="L202" s="14">
        <v>1163.7</v>
      </c>
      <c r="M202" s="14">
        <v>650</v>
      </c>
      <c r="N202" s="11">
        <f>(Table1[[#This Row],[NTE Approved ]]-Table1[[#This Row],[Cost]])/Table1[[#This Row],[Cost]]</f>
        <v>0.79030769230769238</v>
      </c>
      <c r="O202" s="9" t="s">
        <v>724</v>
      </c>
      <c r="P202" s="9" t="s">
        <v>28</v>
      </c>
      <c r="Q202" s="13">
        <v>46050</v>
      </c>
      <c r="T202" s="8"/>
    </row>
    <row r="203" spans="1:153" s="9" customFormat="1" ht="27" customHeight="1" x14ac:dyDescent="0.3">
      <c r="A203" s="9">
        <v>338397723</v>
      </c>
      <c r="B203" s="9" t="s">
        <v>73</v>
      </c>
      <c r="C203" s="13">
        <v>46041</v>
      </c>
      <c r="D203" s="13">
        <v>46072</v>
      </c>
      <c r="E203" s="9" t="s">
        <v>21</v>
      </c>
      <c r="F203" s="9" t="s">
        <v>59</v>
      </c>
      <c r="G203" s="9" t="s">
        <v>725</v>
      </c>
      <c r="H203" s="9" t="s">
        <v>726</v>
      </c>
      <c r="I203" s="9" t="s">
        <v>727</v>
      </c>
      <c r="J203" s="9" t="s">
        <v>144</v>
      </c>
      <c r="K203" s="14">
        <v>350</v>
      </c>
      <c r="L203" s="14">
        <v>1192.3800000000001</v>
      </c>
      <c r="M203" s="14">
        <v>680</v>
      </c>
      <c r="N203" s="11">
        <f>(Table1[[#This Row],[NTE Approved ]]-Table1[[#This Row],[Cost]])/Table1[[#This Row],[Cost]]</f>
        <v>0.75350000000000017</v>
      </c>
      <c r="O203" s="9" t="s">
        <v>728</v>
      </c>
      <c r="P203" s="9" t="s">
        <v>28</v>
      </c>
      <c r="Q203" s="13">
        <v>46050</v>
      </c>
      <c r="R203" s="9" t="s">
        <v>729</v>
      </c>
      <c r="T203" s="8"/>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c r="CX203" s="7"/>
      <c r="CY203" s="7"/>
      <c r="CZ203" s="7"/>
      <c r="DA203" s="7"/>
      <c r="DB203" s="7"/>
      <c r="DC203" s="7"/>
      <c r="DD203" s="7"/>
      <c r="DE203" s="7"/>
      <c r="DF203" s="7"/>
      <c r="DG203" s="7"/>
      <c r="DH203" s="7"/>
      <c r="DI203" s="7"/>
      <c r="DJ203" s="7"/>
      <c r="DK203" s="7"/>
      <c r="DL203" s="7"/>
      <c r="DM203" s="7"/>
      <c r="DN203" s="7"/>
      <c r="DO203" s="7"/>
      <c r="DP203" s="7"/>
      <c r="DQ203" s="7"/>
      <c r="DR203" s="7"/>
      <c r="DS203" s="7"/>
      <c r="DT203" s="7"/>
      <c r="DU203" s="7"/>
      <c r="DV203" s="7"/>
      <c r="DW203" s="7"/>
      <c r="DX203" s="7"/>
      <c r="DY203" s="7"/>
      <c r="DZ203" s="7"/>
      <c r="EA203" s="7"/>
      <c r="EB203" s="7"/>
      <c r="EC203" s="7"/>
      <c r="ED203" s="7"/>
      <c r="EE203" s="7"/>
      <c r="EF203" s="7"/>
      <c r="EG203" s="7"/>
      <c r="EH203" s="7"/>
      <c r="EI203" s="7"/>
      <c r="EJ203" s="7"/>
      <c r="EK203" s="7"/>
      <c r="EL203" s="7"/>
      <c r="EM203" s="7"/>
      <c r="EN203" s="7"/>
      <c r="EO203" s="7"/>
      <c r="EP203" s="7"/>
      <c r="EQ203" s="7"/>
      <c r="ER203" s="7"/>
      <c r="ES203" s="7"/>
      <c r="ET203" s="7"/>
      <c r="EU203" s="7"/>
      <c r="EV203" s="7"/>
      <c r="EW203" s="7"/>
    </row>
    <row r="204" spans="1:153" s="7" customFormat="1" ht="27" customHeight="1" x14ac:dyDescent="0.3">
      <c r="A204" s="9">
        <v>339154485</v>
      </c>
      <c r="B204" s="9" t="s">
        <v>125</v>
      </c>
      <c r="C204" s="13">
        <v>46048</v>
      </c>
      <c r="D204" s="13">
        <v>46049</v>
      </c>
      <c r="E204" s="9" t="s">
        <v>21</v>
      </c>
      <c r="F204" s="9" t="s">
        <v>30</v>
      </c>
      <c r="G204" s="9" t="s">
        <v>126</v>
      </c>
      <c r="H204" s="9" t="s">
        <v>730</v>
      </c>
      <c r="I204" s="9" t="s">
        <v>731</v>
      </c>
      <c r="J204" s="9" t="s">
        <v>63</v>
      </c>
      <c r="K204" s="14">
        <v>750</v>
      </c>
      <c r="L204" s="14">
        <v>967.31</v>
      </c>
      <c r="M204" s="14">
        <v>450</v>
      </c>
      <c r="N204" s="11">
        <f>(Table1[[#This Row],[NTE Approved ]]-Table1[[#This Row],[Cost]])/Table1[[#This Row],[Cost]]</f>
        <v>1.1495777777777776</v>
      </c>
      <c r="O204" s="9" t="s">
        <v>732</v>
      </c>
      <c r="P204" s="9" t="s">
        <v>28</v>
      </c>
      <c r="Q204" s="13">
        <v>46055</v>
      </c>
      <c r="R204" s="9"/>
      <c r="S204" s="9"/>
      <c r="T204" s="8"/>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c r="DA204" s="9"/>
      <c r="DB204" s="9"/>
      <c r="DC204" s="9"/>
      <c r="DD204" s="9"/>
      <c r="DE204" s="9"/>
      <c r="DF204" s="9"/>
      <c r="DG204" s="9"/>
      <c r="DH204" s="9"/>
      <c r="DI204" s="9"/>
      <c r="DJ204" s="9"/>
      <c r="DK204" s="9"/>
      <c r="DL204" s="9"/>
      <c r="DM204" s="9"/>
      <c r="DN204" s="9"/>
      <c r="DO204" s="9"/>
      <c r="DP204" s="9"/>
      <c r="DQ204" s="9"/>
      <c r="DR204" s="9"/>
      <c r="DS204" s="9"/>
      <c r="DT204" s="9"/>
      <c r="DU204" s="9"/>
      <c r="DV204" s="9"/>
      <c r="DW204" s="9"/>
      <c r="DX204" s="9"/>
      <c r="DY204" s="9"/>
      <c r="DZ204" s="9"/>
      <c r="EA204" s="9"/>
      <c r="EB204" s="9"/>
      <c r="EC204" s="9"/>
      <c r="ED204" s="9"/>
      <c r="EE204" s="9"/>
      <c r="EF204" s="9"/>
      <c r="EG204" s="9"/>
      <c r="EH204" s="9"/>
      <c r="EI204" s="9"/>
      <c r="EJ204" s="9"/>
      <c r="EK204" s="9"/>
      <c r="EL204" s="9"/>
      <c r="EM204" s="9"/>
      <c r="EN204" s="9"/>
      <c r="EO204" s="9"/>
      <c r="EP204" s="9"/>
      <c r="EQ204" s="9"/>
      <c r="ER204" s="9"/>
      <c r="ES204" s="9"/>
      <c r="ET204" s="9"/>
      <c r="EU204" s="9"/>
      <c r="EV204" s="9"/>
      <c r="EW204" s="9"/>
    </row>
    <row r="205" spans="1:153" s="9" customFormat="1" ht="27" customHeight="1" x14ac:dyDescent="0.3">
      <c r="A205" s="9" t="s">
        <v>733</v>
      </c>
      <c r="B205" s="9" t="s">
        <v>734</v>
      </c>
      <c r="C205" s="13">
        <v>46059</v>
      </c>
      <c r="D205" s="13">
        <v>46059</v>
      </c>
      <c r="E205" s="9" t="s">
        <v>735</v>
      </c>
      <c r="F205" s="9" t="s">
        <v>45</v>
      </c>
      <c r="G205" s="9" t="s">
        <v>45</v>
      </c>
      <c r="H205" s="9" t="s">
        <v>736</v>
      </c>
      <c r="I205" s="9" t="s">
        <v>737</v>
      </c>
      <c r="J205" s="9" t="s">
        <v>26</v>
      </c>
      <c r="K205" s="14">
        <v>225</v>
      </c>
      <c r="L205" s="14">
        <v>419.95</v>
      </c>
      <c r="M205" s="14">
        <v>350</v>
      </c>
      <c r="N205" s="11">
        <f>(Table1[[#This Row],[NTE Approved ]]-Table1[[#This Row],[Cost]])/Table1[[#This Row],[Cost]]</f>
        <v>0.19985714285714282</v>
      </c>
      <c r="O205" s="9" t="s">
        <v>738</v>
      </c>
      <c r="P205" s="9" t="s">
        <v>28</v>
      </c>
      <c r="Q205" s="13"/>
      <c r="T205" s="8"/>
    </row>
    <row r="206" spans="1:153" s="9" customFormat="1" ht="27" customHeight="1" x14ac:dyDescent="0.3">
      <c r="A206" s="9">
        <v>126545</v>
      </c>
      <c r="B206" s="9" t="s">
        <v>295</v>
      </c>
      <c r="C206" s="13">
        <v>46062</v>
      </c>
      <c r="D206" s="13">
        <v>46064</v>
      </c>
      <c r="E206" s="9" t="s">
        <v>739</v>
      </c>
      <c r="F206" s="9" t="s">
        <v>22</v>
      </c>
      <c r="G206" s="9" t="s">
        <v>740</v>
      </c>
      <c r="H206" s="9" t="s">
        <v>741</v>
      </c>
      <c r="I206" s="9" t="s">
        <v>742</v>
      </c>
      <c r="J206" s="9" t="s">
        <v>400</v>
      </c>
      <c r="K206" s="14">
        <v>265</v>
      </c>
      <c r="L206" s="14"/>
      <c r="M206" s="14"/>
      <c r="N206" s="11" t="e">
        <f>(Table1[[#This Row],[NTE Approved ]]-Table1[[#This Row],[Cost]])/Table1[[#This Row],[Cost]]</f>
        <v>#DIV/0!</v>
      </c>
      <c r="O206" s="9" t="s">
        <v>743</v>
      </c>
      <c r="P206" s="9" t="s">
        <v>162</v>
      </c>
      <c r="Q206" s="13"/>
      <c r="T206" s="8"/>
    </row>
    <row r="207" spans="1:153" s="9" customFormat="1" ht="27" customHeight="1" x14ac:dyDescent="0.3">
      <c r="A207" s="9">
        <v>341300916</v>
      </c>
      <c r="B207" s="9" t="s">
        <v>20</v>
      </c>
      <c r="C207" s="13">
        <v>46069</v>
      </c>
      <c r="D207" s="13">
        <v>46071</v>
      </c>
      <c r="E207" s="9" t="s">
        <v>21</v>
      </c>
      <c r="F207" s="9" t="s">
        <v>22</v>
      </c>
      <c r="G207" s="9" t="s">
        <v>224</v>
      </c>
      <c r="H207" s="9" t="s">
        <v>650</v>
      </c>
      <c r="I207" s="9" t="s">
        <v>651</v>
      </c>
      <c r="J207" s="9" t="s">
        <v>63</v>
      </c>
      <c r="K207" s="14">
        <v>1500</v>
      </c>
      <c r="L207" s="14"/>
      <c r="M207" s="14"/>
      <c r="N207" s="11" t="e">
        <f>(Table1[[#This Row],[NTE Approved ]]-Table1[[#This Row],[Cost]])/Table1[[#This Row],[Cost]]</f>
        <v>#DIV/0!</v>
      </c>
      <c r="O207" s="9" t="s">
        <v>228</v>
      </c>
      <c r="P207" s="9" t="s">
        <v>162</v>
      </c>
      <c r="Q207" s="13"/>
      <c r="T207" s="8"/>
    </row>
    <row r="208" spans="1:153" s="9" customFormat="1" ht="27" customHeight="1" x14ac:dyDescent="0.3">
      <c r="A208" s="9">
        <v>341329716</v>
      </c>
      <c r="B208" s="9" t="s">
        <v>91</v>
      </c>
      <c r="C208" s="13">
        <v>46067</v>
      </c>
      <c r="D208" s="13">
        <v>46067</v>
      </c>
      <c r="E208" s="9" t="s">
        <v>81</v>
      </c>
      <c r="F208" s="9" t="s">
        <v>59</v>
      </c>
      <c r="G208" s="9" t="s">
        <v>120</v>
      </c>
      <c r="H208" s="9" t="s">
        <v>744</v>
      </c>
      <c r="I208" s="9" t="s">
        <v>484</v>
      </c>
      <c r="J208" s="9" t="s">
        <v>49</v>
      </c>
      <c r="K208" s="14">
        <v>552.5</v>
      </c>
      <c r="L208" s="14">
        <v>540.70000000000005</v>
      </c>
      <c r="M208" s="14">
        <v>200</v>
      </c>
      <c r="N208" s="11">
        <f>(Table1[[#This Row],[NTE Approved ]]-Table1[[#This Row],[Cost]])/Table1[[#This Row],[Cost]]</f>
        <v>1.7035000000000002</v>
      </c>
      <c r="O208" s="9" t="s">
        <v>745</v>
      </c>
      <c r="P208" s="9" t="s">
        <v>28</v>
      </c>
      <c r="Q208" s="13"/>
      <c r="T208" s="8"/>
    </row>
    <row r="209" spans="1:20" s="9" customFormat="1" ht="27" customHeight="1" x14ac:dyDescent="0.3">
      <c r="A209" s="9">
        <v>335186347</v>
      </c>
      <c r="B209" s="9" t="s">
        <v>163</v>
      </c>
      <c r="C209" s="13">
        <v>46008</v>
      </c>
      <c r="D209" s="13">
        <v>46009</v>
      </c>
      <c r="E209" s="9" t="s">
        <v>81</v>
      </c>
      <c r="F209" s="9" t="s">
        <v>59</v>
      </c>
      <c r="G209" s="9" t="s">
        <v>617</v>
      </c>
      <c r="H209" s="9" t="s">
        <v>746</v>
      </c>
      <c r="I209" s="9" t="s">
        <v>747</v>
      </c>
      <c r="J209" s="9" t="s">
        <v>42</v>
      </c>
      <c r="K209" s="14">
        <v>552.5</v>
      </c>
      <c r="L209" s="14">
        <v>660</v>
      </c>
      <c r="M209" s="14">
        <v>575</v>
      </c>
      <c r="N209" s="11">
        <f>(Table1[[#This Row],[NTE Approved ]]-Table1[[#This Row],[Cost]])/Table1[[#This Row],[Cost]]</f>
        <v>0.14782608695652175</v>
      </c>
      <c r="O209" s="9" t="s">
        <v>748</v>
      </c>
      <c r="P209" s="9" t="s">
        <v>28</v>
      </c>
      <c r="Q209" s="13">
        <v>46052</v>
      </c>
      <c r="R209" s="9" t="s">
        <v>283</v>
      </c>
      <c r="T209" s="8"/>
    </row>
    <row r="210" spans="1:20" s="9" customFormat="1" ht="27" customHeight="1" x14ac:dyDescent="0.3">
      <c r="A210" s="9" t="s">
        <v>749</v>
      </c>
      <c r="B210" s="9" t="s">
        <v>44</v>
      </c>
      <c r="C210" s="13">
        <v>46066</v>
      </c>
      <c r="D210" s="13">
        <v>46066</v>
      </c>
      <c r="E210" s="9" t="s">
        <v>750</v>
      </c>
      <c r="F210" s="9" t="s">
        <v>22</v>
      </c>
      <c r="G210" s="9" t="s">
        <v>146</v>
      </c>
      <c r="H210" s="9" t="s">
        <v>751</v>
      </c>
      <c r="I210" s="9" t="s">
        <v>752</v>
      </c>
      <c r="J210" s="9" t="s">
        <v>206</v>
      </c>
      <c r="K210" s="14">
        <v>600</v>
      </c>
      <c r="L210" s="14">
        <v>397.5</v>
      </c>
      <c r="M210" s="14">
        <v>210</v>
      </c>
      <c r="N210" s="11">
        <f>(Table1[[#This Row],[NTE Approved ]]-Table1[[#This Row],[Cost]])/Table1[[#This Row],[Cost]]</f>
        <v>0.8928571428571429</v>
      </c>
      <c r="O210" s="9" t="s">
        <v>753</v>
      </c>
      <c r="P210" s="9" t="s">
        <v>28</v>
      </c>
      <c r="Q210" s="13"/>
      <c r="T210" s="8"/>
    </row>
    <row r="211" spans="1:20" s="9" customFormat="1" ht="27" customHeight="1" x14ac:dyDescent="0.3">
      <c r="A211" s="9" t="s">
        <v>754</v>
      </c>
      <c r="B211" s="9" t="s">
        <v>44</v>
      </c>
      <c r="C211" s="13">
        <v>46059</v>
      </c>
      <c r="D211" s="13">
        <v>46063</v>
      </c>
      <c r="E211" s="9" t="s">
        <v>755</v>
      </c>
      <c r="F211" s="9" t="s">
        <v>59</v>
      </c>
      <c r="G211" s="9" t="s">
        <v>60</v>
      </c>
      <c r="H211" s="9" t="s">
        <v>756</v>
      </c>
      <c r="I211" s="9" t="s">
        <v>757</v>
      </c>
      <c r="J211" s="9" t="s">
        <v>78</v>
      </c>
      <c r="K211" s="14"/>
      <c r="L211" s="14"/>
      <c r="M211" s="14"/>
      <c r="N211" s="11" t="e">
        <f>(Table1[[#This Row],[NTE Approved ]]-Table1[[#This Row],[Cost]])/Table1[[#This Row],[Cost]]</f>
        <v>#DIV/0!</v>
      </c>
      <c r="P211" s="9" t="s">
        <v>162</v>
      </c>
      <c r="Q211" s="13"/>
      <c r="T211" s="8"/>
    </row>
    <row r="212" spans="1:20" s="9" customFormat="1" ht="27" customHeight="1" x14ac:dyDescent="0.3">
      <c r="A212" s="9" t="s">
        <v>758</v>
      </c>
      <c r="B212" s="9" t="s">
        <v>73</v>
      </c>
      <c r="C212" s="13">
        <v>46010</v>
      </c>
      <c r="D212" s="13">
        <v>46013</v>
      </c>
      <c r="E212" s="9" t="s">
        <v>156</v>
      </c>
      <c r="F212" s="9" t="s">
        <v>759</v>
      </c>
      <c r="G212" s="9" t="s">
        <v>146</v>
      </c>
      <c r="H212" s="9" t="s">
        <v>375</v>
      </c>
      <c r="I212" s="9" t="s">
        <v>159</v>
      </c>
      <c r="J212" s="9" t="s">
        <v>160</v>
      </c>
      <c r="K212" s="14"/>
      <c r="L212" s="14"/>
      <c r="M212" s="14"/>
      <c r="N212" s="11" t="e">
        <f>(Table1[[#This Row],[NTE Approved ]]-Table1[[#This Row],[Cost]])/Table1[[#This Row],[Cost]]</f>
        <v>#DIV/0!</v>
      </c>
      <c r="P212" s="9" t="s">
        <v>162</v>
      </c>
      <c r="Q212" s="13"/>
      <c r="T212" s="8"/>
    </row>
    <row r="213" spans="1:20" s="9" customFormat="1" ht="27" customHeight="1" x14ac:dyDescent="0.3">
      <c r="A213" s="9" t="s">
        <v>760</v>
      </c>
      <c r="B213" s="9" t="s">
        <v>761</v>
      </c>
      <c r="C213" s="13">
        <v>45947</v>
      </c>
      <c r="D213" s="13">
        <v>45948</v>
      </c>
      <c r="E213" s="9" t="s">
        <v>156</v>
      </c>
      <c r="F213" s="9" t="s">
        <v>317</v>
      </c>
      <c r="G213" s="9" t="s">
        <v>318</v>
      </c>
      <c r="H213" s="9" t="s">
        <v>762</v>
      </c>
      <c r="I213" s="9" t="s">
        <v>763</v>
      </c>
      <c r="J213" s="9" t="s">
        <v>49</v>
      </c>
      <c r="K213" s="14"/>
      <c r="L213" s="14"/>
      <c r="M213" s="14"/>
      <c r="N213" s="11" t="e">
        <f>(Table1[[#This Row],[NTE Approved ]]-Table1[[#This Row],[Cost]])/Table1[[#This Row],[Cost]]</f>
        <v>#DIV/0!</v>
      </c>
      <c r="P213" s="9" t="s">
        <v>162</v>
      </c>
      <c r="Q213" s="13">
        <v>45952</v>
      </c>
      <c r="T213" s="8"/>
    </row>
    <row r="214" spans="1:20" s="9" customFormat="1" ht="27" customHeight="1" x14ac:dyDescent="0.3">
      <c r="A214" s="9" t="s">
        <v>764</v>
      </c>
      <c r="B214" s="9" t="s">
        <v>761</v>
      </c>
      <c r="C214" s="13">
        <v>45952</v>
      </c>
      <c r="D214" s="13">
        <v>45958</v>
      </c>
      <c r="E214" s="9" t="s">
        <v>156</v>
      </c>
      <c r="F214" s="9" t="s">
        <v>38</v>
      </c>
      <c r="G214" s="9" t="s">
        <v>39</v>
      </c>
      <c r="H214" s="9" t="s">
        <v>765</v>
      </c>
      <c r="I214" s="9" t="s">
        <v>766</v>
      </c>
      <c r="J214" s="9" t="s">
        <v>49</v>
      </c>
      <c r="K214" s="14"/>
      <c r="L214" s="14"/>
      <c r="M214" s="14"/>
      <c r="N214" s="11" t="e">
        <f>(Table1[[#This Row],[NTE Approved ]]-Table1[[#This Row],[Cost]])/Table1[[#This Row],[Cost]]</f>
        <v>#DIV/0!</v>
      </c>
      <c r="P214" s="9" t="s">
        <v>162</v>
      </c>
      <c r="Q214" s="13">
        <v>45954</v>
      </c>
      <c r="T214" s="8"/>
    </row>
    <row r="215" spans="1:20" s="9" customFormat="1" ht="27" customHeight="1" x14ac:dyDescent="0.3">
      <c r="A215" s="9" t="s">
        <v>767</v>
      </c>
      <c r="B215" s="9" t="s">
        <v>761</v>
      </c>
      <c r="C215" s="13">
        <v>45925</v>
      </c>
      <c r="D215" s="13">
        <v>45925</v>
      </c>
      <c r="E215" s="9" t="s">
        <v>768</v>
      </c>
      <c r="F215" s="9" t="s">
        <v>317</v>
      </c>
      <c r="G215" s="9" t="s">
        <v>430</v>
      </c>
      <c r="H215" s="9" t="s">
        <v>769</v>
      </c>
      <c r="I215" s="9" t="s">
        <v>770</v>
      </c>
      <c r="J215" s="9" t="s">
        <v>771</v>
      </c>
      <c r="K215" s="14"/>
      <c r="L215" s="14"/>
      <c r="M215" s="14"/>
      <c r="N215" s="11" t="e">
        <f>(Table1[[#This Row],[NTE Approved ]]-Table1[[#This Row],[Cost]])/Table1[[#This Row],[Cost]]</f>
        <v>#DIV/0!</v>
      </c>
      <c r="P215" s="9" t="s">
        <v>162</v>
      </c>
      <c r="Q215" s="13">
        <v>45964</v>
      </c>
      <c r="T215" s="8"/>
    </row>
    <row r="216" spans="1:20" s="9" customFormat="1" ht="27" customHeight="1" x14ac:dyDescent="0.3">
      <c r="A216" s="9" t="s">
        <v>772</v>
      </c>
      <c r="B216" s="9" t="s">
        <v>295</v>
      </c>
      <c r="C216" s="13">
        <v>45955</v>
      </c>
      <c r="D216" s="13">
        <v>45959</v>
      </c>
      <c r="E216" s="9" t="s">
        <v>773</v>
      </c>
      <c r="F216" s="9" t="s">
        <v>759</v>
      </c>
      <c r="G216" s="9" t="s">
        <v>146</v>
      </c>
      <c r="H216" s="9" t="s">
        <v>774</v>
      </c>
      <c r="I216" s="9" t="s">
        <v>775</v>
      </c>
      <c r="J216" s="9" t="s">
        <v>42</v>
      </c>
      <c r="K216" s="14"/>
      <c r="L216" s="14"/>
      <c r="M216" s="14"/>
      <c r="N216" s="11" t="e">
        <f>(Table1[[#This Row],[NTE Approved ]]-Table1[[#This Row],[Cost]])/Table1[[#This Row],[Cost]]</f>
        <v>#DIV/0!</v>
      </c>
      <c r="P216" s="9" t="s">
        <v>162</v>
      </c>
      <c r="Q216" s="13">
        <v>45973</v>
      </c>
      <c r="T216" s="8"/>
    </row>
    <row r="217" spans="1:20" s="9" customFormat="1" ht="27" customHeight="1" x14ac:dyDescent="0.3">
      <c r="A217" s="9" t="s">
        <v>776</v>
      </c>
      <c r="B217" s="9" t="s">
        <v>295</v>
      </c>
      <c r="C217" s="13">
        <v>45981</v>
      </c>
      <c r="D217" s="13">
        <v>45983</v>
      </c>
      <c r="E217" s="9" t="s">
        <v>768</v>
      </c>
      <c r="F217" s="9" t="s">
        <v>185</v>
      </c>
      <c r="G217" s="9" t="s">
        <v>777</v>
      </c>
      <c r="H217" s="9" t="s">
        <v>778</v>
      </c>
      <c r="I217" s="9" t="s">
        <v>770</v>
      </c>
      <c r="J217" s="9" t="s">
        <v>771</v>
      </c>
      <c r="K217" s="14"/>
      <c r="L217" s="14"/>
      <c r="M217" s="14"/>
      <c r="N217" s="11" t="e">
        <f>(Table1[[#This Row],[NTE Approved ]]-Table1[[#This Row],[Cost]])/Table1[[#This Row],[Cost]]</f>
        <v>#DIV/0!</v>
      </c>
      <c r="P217" s="9" t="s">
        <v>162</v>
      </c>
      <c r="Q217" s="13">
        <v>45993</v>
      </c>
      <c r="T217" s="8"/>
    </row>
    <row r="218" spans="1:20" s="9" customFormat="1" ht="27" customHeight="1" x14ac:dyDescent="0.3">
      <c r="A218" s="9" t="s">
        <v>779</v>
      </c>
      <c r="B218" s="9" t="s">
        <v>73</v>
      </c>
      <c r="C218" s="13">
        <v>45987</v>
      </c>
      <c r="D218" s="13">
        <v>45992</v>
      </c>
      <c r="E218" s="9" t="s">
        <v>156</v>
      </c>
      <c r="F218" s="9" t="s">
        <v>759</v>
      </c>
      <c r="G218" s="9" t="s">
        <v>780</v>
      </c>
      <c r="H218" s="9" t="s">
        <v>781</v>
      </c>
      <c r="I218" s="9" t="s">
        <v>782</v>
      </c>
      <c r="J218" s="9" t="s">
        <v>783</v>
      </c>
      <c r="K218" s="14"/>
      <c r="L218" s="14"/>
      <c r="M218" s="14"/>
      <c r="N218" s="11" t="e">
        <f>(Table1[[#This Row],[NTE Approved ]]-Table1[[#This Row],[Cost]])/Table1[[#This Row],[Cost]]</f>
        <v>#DIV/0!</v>
      </c>
      <c r="P218" s="9" t="s">
        <v>162</v>
      </c>
      <c r="Q218" s="13">
        <v>45995</v>
      </c>
      <c r="T218" s="8"/>
    </row>
    <row r="219" spans="1:20" s="9" customFormat="1" ht="27" customHeight="1" x14ac:dyDescent="0.3">
      <c r="A219" s="9" t="s">
        <v>784</v>
      </c>
      <c r="B219" s="9" t="s">
        <v>295</v>
      </c>
      <c r="C219" s="13">
        <v>45980</v>
      </c>
      <c r="D219" s="13">
        <v>45982</v>
      </c>
      <c r="E219" s="9" t="s">
        <v>156</v>
      </c>
      <c r="F219" s="9" t="s">
        <v>185</v>
      </c>
      <c r="G219" s="9" t="s">
        <v>785</v>
      </c>
      <c r="H219" s="9" t="s">
        <v>786</v>
      </c>
      <c r="I219" s="9" t="s">
        <v>159</v>
      </c>
      <c r="J219" s="9" t="s">
        <v>160</v>
      </c>
      <c r="K219" s="14"/>
      <c r="L219" s="14"/>
      <c r="M219" s="14"/>
      <c r="N219" s="11" t="e">
        <f>(Table1[[#This Row],[NTE Approved ]]-Table1[[#This Row],[Cost]])/Table1[[#This Row],[Cost]]</f>
        <v>#DIV/0!</v>
      </c>
      <c r="P219" s="9" t="s">
        <v>162</v>
      </c>
      <c r="Q219" s="13">
        <v>46007</v>
      </c>
      <c r="T219" s="8"/>
    </row>
    <row r="220" spans="1:20" s="9" customFormat="1" ht="27" customHeight="1" x14ac:dyDescent="0.3">
      <c r="A220" s="9" t="s">
        <v>787</v>
      </c>
      <c r="B220" s="9" t="s">
        <v>295</v>
      </c>
      <c r="C220" s="13">
        <v>45969</v>
      </c>
      <c r="D220" s="13">
        <v>45972</v>
      </c>
      <c r="E220" s="9" t="s">
        <v>788</v>
      </c>
      <c r="F220" s="9" t="s">
        <v>38</v>
      </c>
      <c r="G220" s="9" t="s">
        <v>789</v>
      </c>
      <c r="H220" s="9" t="s">
        <v>790</v>
      </c>
      <c r="I220" s="9" t="s">
        <v>791</v>
      </c>
      <c r="J220" s="9" t="s">
        <v>792</v>
      </c>
      <c r="K220" s="14"/>
      <c r="L220" s="14"/>
      <c r="M220" s="14"/>
      <c r="N220" s="11" t="e">
        <f>(Table1[[#This Row],[NTE Approved ]]-Table1[[#This Row],[Cost]])/Table1[[#This Row],[Cost]]</f>
        <v>#DIV/0!</v>
      </c>
      <c r="O220" s="9" t="s">
        <v>793</v>
      </c>
      <c r="P220" s="9" t="s">
        <v>162</v>
      </c>
      <c r="Q220" s="13">
        <v>46020</v>
      </c>
      <c r="R220" s="9" t="s">
        <v>68</v>
      </c>
      <c r="T220" s="8"/>
    </row>
    <row r="221" spans="1:20" s="9" customFormat="1" ht="27" customHeight="1" x14ac:dyDescent="0.3">
      <c r="A221" s="9" t="s">
        <v>794</v>
      </c>
      <c r="B221" s="9" t="s">
        <v>295</v>
      </c>
      <c r="C221" s="13">
        <v>45940</v>
      </c>
      <c r="D221" s="13">
        <v>45945</v>
      </c>
      <c r="E221" s="9" t="s">
        <v>768</v>
      </c>
      <c r="F221" s="9" t="s">
        <v>317</v>
      </c>
      <c r="G221" s="9" t="s">
        <v>795</v>
      </c>
      <c r="H221" s="9" t="s">
        <v>796</v>
      </c>
      <c r="I221" s="9" t="s">
        <v>797</v>
      </c>
      <c r="J221" s="9" t="s">
        <v>798</v>
      </c>
      <c r="K221" s="14"/>
      <c r="L221" s="14">
        <v>4665</v>
      </c>
      <c r="M221" s="14">
        <v>1600</v>
      </c>
      <c r="N221" s="11">
        <f>(Table1[[#This Row],[NTE Approved ]]-Table1[[#This Row],[Cost]])/Table1[[#This Row],[Cost]]</f>
        <v>1.9156249999999999</v>
      </c>
      <c r="O221" s="9" t="s">
        <v>799</v>
      </c>
      <c r="P221" s="9" t="s">
        <v>162</v>
      </c>
      <c r="Q221" s="13">
        <v>45965</v>
      </c>
      <c r="R221" s="9" t="s">
        <v>68</v>
      </c>
      <c r="T221" s="8"/>
    </row>
    <row r="222" spans="1:20" s="9" customFormat="1" ht="27" customHeight="1" x14ac:dyDescent="0.3">
      <c r="A222" s="9" t="s">
        <v>800</v>
      </c>
      <c r="B222" s="9" t="s">
        <v>163</v>
      </c>
      <c r="C222" s="13">
        <v>46062</v>
      </c>
      <c r="D222" s="13">
        <v>46062</v>
      </c>
      <c r="E222" s="9" t="s">
        <v>788</v>
      </c>
      <c r="F222" s="9" t="s">
        <v>59</v>
      </c>
      <c r="G222" s="9" t="s">
        <v>801</v>
      </c>
      <c r="H222" s="9" t="s">
        <v>802</v>
      </c>
      <c r="I222" s="9" t="s">
        <v>803</v>
      </c>
      <c r="J222" s="9" t="s">
        <v>132</v>
      </c>
      <c r="K222" s="14">
        <v>2800</v>
      </c>
      <c r="L222" s="14">
        <v>1873.33</v>
      </c>
      <c r="M222" s="14">
        <v>1053.05</v>
      </c>
      <c r="N222" s="11">
        <f>(Table1[[#This Row],[NTE Approved ]]-Table1[[#This Row],[Cost]])/Table1[[#This Row],[Cost]]</f>
        <v>0.7789563648449741</v>
      </c>
      <c r="O222" s="9" t="s">
        <v>804</v>
      </c>
      <c r="P222" s="9" t="s">
        <v>28</v>
      </c>
      <c r="Q222" s="13"/>
      <c r="T222" s="8"/>
    </row>
    <row r="223" spans="1:20" s="9" customFormat="1" ht="27" customHeight="1" x14ac:dyDescent="0.3">
      <c r="A223" s="9">
        <v>341879178</v>
      </c>
      <c r="B223" s="9" t="s">
        <v>44</v>
      </c>
      <c r="C223" s="13">
        <v>46072</v>
      </c>
      <c r="D223" s="13">
        <v>46076</v>
      </c>
      <c r="E223" s="9" t="s">
        <v>81</v>
      </c>
      <c r="F223" s="9" t="s">
        <v>38</v>
      </c>
      <c r="G223" s="9" t="s">
        <v>805</v>
      </c>
      <c r="H223" s="9" t="s">
        <v>806</v>
      </c>
      <c r="I223" s="9" t="s">
        <v>747</v>
      </c>
      <c r="J223" s="9" t="s">
        <v>42</v>
      </c>
      <c r="K223" s="14">
        <v>467.5</v>
      </c>
      <c r="L223" s="14">
        <v>406.14</v>
      </c>
      <c r="M223" s="14">
        <v>175</v>
      </c>
      <c r="N223" s="11">
        <f>(Table1[[#This Row],[NTE Approved ]]-Table1[[#This Row],[Cost]])/Table1[[#This Row],[Cost]]</f>
        <v>1.3208</v>
      </c>
      <c r="O223" s="9" t="s">
        <v>807</v>
      </c>
      <c r="P223" s="9" t="s">
        <v>28</v>
      </c>
      <c r="Q223" s="13"/>
      <c r="T223" s="8"/>
    </row>
    <row r="224" spans="1:20" s="9" customFormat="1" ht="27" customHeight="1" x14ac:dyDescent="0.3">
      <c r="A224" s="9">
        <v>341660399</v>
      </c>
      <c r="B224" s="9" t="s">
        <v>91</v>
      </c>
      <c r="C224" s="13">
        <v>46070</v>
      </c>
      <c r="D224" s="13">
        <v>46070</v>
      </c>
      <c r="E224" s="9" t="s">
        <v>81</v>
      </c>
      <c r="F224" s="9" t="s">
        <v>59</v>
      </c>
      <c r="G224" s="9" t="s">
        <v>237</v>
      </c>
      <c r="H224" s="9" t="s">
        <v>165</v>
      </c>
      <c r="I224" s="9" t="s">
        <v>166</v>
      </c>
      <c r="J224" s="9" t="s">
        <v>42</v>
      </c>
      <c r="K224" s="14">
        <v>722.5</v>
      </c>
      <c r="L224" s="14">
        <v>702</v>
      </c>
      <c r="M224" s="14">
        <v>400</v>
      </c>
      <c r="N224" s="11">
        <f>(Table1[[#This Row],[NTE Approved ]]-Table1[[#This Row],[Cost]])/Table1[[#This Row],[Cost]]</f>
        <v>0.755</v>
      </c>
      <c r="O224" s="9" t="s">
        <v>808</v>
      </c>
      <c r="P224" s="9" t="s">
        <v>28</v>
      </c>
      <c r="Q224" s="13"/>
      <c r="R224" s="9" t="s">
        <v>68</v>
      </c>
      <c r="T224" s="8"/>
    </row>
    <row r="225" spans="1:20" s="9" customFormat="1" ht="27" customHeight="1" x14ac:dyDescent="0.3">
      <c r="A225" s="9">
        <v>14909</v>
      </c>
      <c r="B225" s="9" t="s">
        <v>73</v>
      </c>
      <c r="C225" s="13">
        <v>46052</v>
      </c>
      <c r="D225" s="13">
        <v>46052</v>
      </c>
      <c r="E225" s="9" t="s">
        <v>809</v>
      </c>
      <c r="F225" s="9" t="s">
        <v>810</v>
      </c>
      <c r="G225" s="9" t="s">
        <v>811</v>
      </c>
      <c r="H225" s="9" t="s">
        <v>812</v>
      </c>
      <c r="I225" s="9" t="s">
        <v>813</v>
      </c>
      <c r="J225" s="9" t="s">
        <v>814</v>
      </c>
      <c r="K225" s="14"/>
      <c r="L225" s="14">
        <v>468.75</v>
      </c>
      <c r="M225" s="14">
        <v>250</v>
      </c>
      <c r="N225" s="11">
        <f>(Table1[[#This Row],[NTE Approved ]]-Table1[[#This Row],[Cost]])/Table1[[#This Row],[Cost]]</f>
        <v>0.875</v>
      </c>
      <c r="O225" s="9" t="s">
        <v>815</v>
      </c>
      <c r="P225" s="9" t="s">
        <v>28</v>
      </c>
      <c r="Q225" s="13"/>
      <c r="T225" s="8"/>
    </row>
    <row r="226" spans="1:20" s="9" customFormat="1" ht="27" customHeight="1" x14ac:dyDescent="0.3">
      <c r="A226" s="9">
        <v>15024</v>
      </c>
      <c r="B226" s="9" t="s">
        <v>73</v>
      </c>
      <c r="C226" s="13">
        <v>46058</v>
      </c>
      <c r="D226" s="13">
        <v>46059</v>
      </c>
      <c r="E226" s="9" t="s">
        <v>809</v>
      </c>
      <c r="F226" s="9" t="s">
        <v>59</v>
      </c>
      <c r="G226" s="9" t="s">
        <v>60</v>
      </c>
      <c r="H226" s="9" t="s">
        <v>816</v>
      </c>
      <c r="I226" s="9" t="s">
        <v>817</v>
      </c>
      <c r="J226" s="9" t="s">
        <v>42</v>
      </c>
      <c r="K226" s="14">
        <v>1900</v>
      </c>
      <c r="L226" s="14">
        <v>448.71</v>
      </c>
      <c r="M226" s="14">
        <v>212.29</v>
      </c>
      <c r="N226" s="11">
        <f>(Table1[[#This Row],[NTE Approved ]]-Table1[[#This Row],[Cost]])/Table1[[#This Row],[Cost]]</f>
        <v>1.1136652692072164</v>
      </c>
      <c r="O226" s="9" t="s">
        <v>818</v>
      </c>
      <c r="P226" s="9" t="s">
        <v>28</v>
      </c>
      <c r="Q226" s="13"/>
      <c r="T226" s="8"/>
    </row>
    <row r="227" spans="1:20" s="9" customFormat="1" ht="27" customHeight="1" x14ac:dyDescent="0.3">
      <c r="A227" s="9">
        <v>338552150</v>
      </c>
      <c r="B227" s="9" t="s">
        <v>125</v>
      </c>
      <c r="C227" s="13">
        <v>46042</v>
      </c>
      <c r="D227" s="13">
        <v>46044</v>
      </c>
      <c r="E227" s="9" t="s">
        <v>819</v>
      </c>
      <c r="F227" s="9" t="s">
        <v>759</v>
      </c>
      <c r="G227" s="9" t="s">
        <v>820</v>
      </c>
      <c r="H227" s="9" t="s">
        <v>821</v>
      </c>
      <c r="I227" s="9" t="s">
        <v>822</v>
      </c>
      <c r="J227" s="9" t="s">
        <v>823</v>
      </c>
      <c r="K227" s="14">
        <v>300</v>
      </c>
      <c r="L227" s="14">
        <v>721.91</v>
      </c>
      <c r="M227" s="14">
        <v>412.03</v>
      </c>
      <c r="N227" s="11">
        <f>(Table1[[#This Row],[NTE Approved ]]-Table1[[#This Row],[Cost]])/Table1[[#This Row],[Cost]]</f>
        <v>0.75208115913889773</v>
      </c>
      <c r="O227" s="9" t="s">
        <v>824</v>
      </c>
      <c r="P227" s="9" t="s">
        <v>28</v>
      </c>
      <c r="Q227" s="13">
        <v>46051</v>
      </c>
      <c r="T227" s="8"/>
    </row>
    <row r="228" spans="1:20" s="9" customFormat="1" ht="27" customHeight="1" x14ac:dyDescent="0.3">
      <c r="A228" s="9">
        <v>125960</v>
      </c>
      <c r="B228" s="9" t="s">
        <v>80</v>
      </c>
      <c r="C228" s="13">
        <v>46062</v>
      </c>
      <c r="D228" s="13">
        <v>46064</v>
      </c>
      <c r="E228" s="9" t="s">
        <v>739</v>
      </c>
      <c r="F228" s="9" t="s">
        <v>22</v>
      </c>
      <c r="G228" s="9" t="s">
        <v>740</v>
      </c>
      <c r="H228" s="9" t="s">
        <v>825</v>
      </c>
      <c r="I228" s="9" t="s">
        <v>742</v>
      </c>
      <c r="J228" s="9" t="s">
        <v>400</v>
      </c>
      <c r="K228" s="14">
        <v>265</v>
      </c>
      <c r="L228" s="14">
        <v>262.5</v>
      </c>
      <c r="M228" s="14">
        <v>140</v>
      </c>
      <c r="N228" s="11">
        <f>(Table1[[#This Row],[NTE Approved ]]-Table1[[#This Row],[Cost]])/Table1[[#This Row],[Cost]]</f>
        <v>0.875</v>
      </c>
      <c r="O228" s="9" t="s">
        <v>743</v>
      </c>
      <c r="P228" s="9" t="s">
        <v>28</v>
      </c>
      <c r="Q228" s="13"/>
      <c r="T228" s="8"/>
    </row>
    <row r="229" spans="1:20" s="9" customFormat="1" ht="27" customHeight="1" x14ac:dyDescent="0.3">
      <c r="A229" s="9">
        <v>15065</v>
      </c>
      <c r="B229" s="9" t="s">
        <v>20</v>
      </c>
      <c r="C229" s="13">
        <v>46063</v>
      </c>
      <c r="D229" s="13">
        <v>46065</v>
      </c>
      <c r="E229" s="9" t="s">
        <v>809</v>
      </c>
      <c r="F229" s="9" t="s">
        <v>22</v>
      </c>
      <c r="G229" s="9" t="s">
        <v>826</v>
      </c>
      <c r="H229" s="9" t="s">
        <v>827</v>
      </c>
      <c r="I229" s="9" t="s">
        <v>828</v>
      </c>
      <c r="J229" s="9" t="s">
        <v>34</v>
      </c>
      <c r="K229" s="14">
        <v>1900</v>
      </c>
      <c r="L229" s="14">
        <v>490</v>
      </c>
      <c r="M229" s="14">
        <v>200</v>
      </c>
      <c r="N229" s="11">
        <f>(Table1[[#This Row],[NTE Approved ]]-Table1[[#This Row],[Cost]])/Table1[[#This Row],[Cost]]</f>
        <v>1.45</v>
      </c>
      <c r="O229" s="9" t="s">
        <v>829</v>
      </c>
      <c r="P229" s="9" t="s">
        <v>28</v>
      </c>
      <c r="Q229" s="13"/>
      <c r="T229" s="8"/>
    </row>
    <row r="230" spans="1:20" s="9" customFormat="1" ht="27" customHeight="1" x14ac:dyDescent="0.3">
      <c r="A230" s="9">
        <v>126462</v>
      </c>
      <c r="B230" s="9" t="s">
        <v>80</v>
      </c>
      <c r="C230" s="13">
        <v>46062</v>
      </c>
      <c r="D230" s="13">
        <v>46064</v>
      </c>
      <c r="E230" s="9" t="s">
        <v>739</v>
      </c>
      <c r="F230" s="9" t="s">
        <v>22</v>
      </c>
      <c r="G230" s="9" t="s">
        <v>740</v>
      </c>
      <c r="H230" s="9" t="s">
        <v>830</v>
      </c>
      <c r="I230" s="9" t="s">
        <v>831</v>
      </c>
      <c r="J230" s="9" t="s">
        <v>26</v>
      </c>
      <c r="K230" s="14">
        <v>265</v>
      </c>
      <c r="L230" s="14">
        <v>262.5</v>
      </c>
      <c r="M230" s="14">
        <v>135</v>
      </c>
      <c r="N230" s="11">
        <f>(Table1[[#This Row],[NTE Approved ]]-Table1[[#This Row],[Cost]])/Table1[[#This Row],[Cost]]</f>
        <v>0.94444444444444442</v>
      </c>
      <c r="O230" s="9" t="s">
        <v>832</v>
      </c>
      <c r="P230" s="9" t="s">
        <v>28</v>
      </c>
      <c r="Q230" s="13"/>
      <c r="R230" s="9" t="s">
        <v>68</v>
      </c>
      <c r="T230" s="8"/>
    </row>
    <row r="231" spans="1:20" s="9" customFormat="1" ht="27" customHeight="1" x14ac:dyDescent="0.3">
      <c r="A231" s="9">
        <v>15077</v>
      </c>
      <c r="B231" s="9" t="s">
        <v>73</v>
      </c>
      <c r="C231" s="13">
        <v>46063</v>
      </c>
      <c r="D231" s="13">
        <v>46065</v>
      </c>
      <c r="E231" s="9" t="s">
        <v>809</v>
      </c>
      <c r="F231" s="9" t="s">
        <v>59</v>
      </c>
      <c r="G231" s="9" t="s">
        <v>60</v>
      </c>
      <c r="H231" s="9" t="s">
        <v>833</v>
      </c>
      <c r="I231" s="9" t="s">
        <v>834</v>
      </c>
      <c r="J231" s="9" t="s">
        <v>42</v>
      </c>
      <c r="K231" s="14"/>
      <c r="L231" s="14">
        <v>411.12</v>
      </c>
      <c r="M231" s="14">
        <v>200</v>
      </c>
      <c r="N231" s="11">
        <f>(Table1[[#This Row],[NTE Approved ]]-Table1[[#This Row],[Cost]])/Table1[[#This Row],[Cost]]</f>
        <v>1.0556000000000001</v>
      </c>
      <c r="O231" s="9" t="s">
        <v>835</v>
      </c>
      <c r="P231" s="9" t="s">
        <v>28</v>
      </c>
      <c r="Q231" s="13"/>
      <c r="T231" s="8"/>
    </row>
    <row r="232" spans="1:20" s="9" customFormat="1" ht="27" customHeight="1" x14ac:dyDescent="0.3">
      <c r="A232" s="9">
        <v>338661549</v>
      </c>
      <c r="B232" s="9" t="s">
        <v>73</v>
      </c>
      <c r="C232" s="13">
        <v>46056</v>
      </c>
      <c r="D232" s="13">
        <v>46057</v>
      </c>
      <c r="E232" s="9" t="s">
        <v>836</v>
      </c>
      <c r="F232" s="9" t="s">
        <v>759</v>
      </c>
      <c r="G232" s="9" t="s">
        <v>837</v>
      </c>
      <c r="H232" s="9" t="s">
        <v>838</v>
      </c>
      <c r="I232" s="9" t="s">
        <v>839</v>
      </c>
      <c r="J232" s="9" t="s">
        <v>823</v>
      </c>
      <c r="K232" s="14">
        <v>300</v>
      </c>
      <c r="L232" s="14">
        <v>865.2</v>
      </c>
      <c r="M232" s="14">
        <v>490</v>
      </c>
      <c r="N232" s="11">
        <f>(Table1[[#This Row],[NTE Approved ]]-Table1[[#This Row],[Cost]])/Table1[[#This Row],[Cost]]</f>
        <v>0.76571428571428579</v>
      </c>
      <c r="O232" s="9" t="s">
        <v>840</v>
      </c>
      <c r="P232" s="9" t="s">
        <v>28</v>
      </c>
      <c r="Q232" s="13"/>
      <c r="T232" s="8"/>
    </row>
    <row r="233" spans="1:20" s="9" customFormat="1" ht="27" customHeight="1" x14ac:dyDescent="0.3">
      <c r="A233" s="9">
        <v>15300</v>
      </c>
      <c r="B233" s="9" t="s">
        <v>91</v>
      </c>
      <c r="C233" s="13">
        <v>46070</v>
      </c>
      <c r="D233" s="13">
        <v>46072</v>
      </c>
      <c r="E233" s="9" t="s">
        <v>809</v>
      </c>
      <c r="F233" s="9" t="s">
        <v>59</v>
      </c>
      <c r="G233" s="9" t="s">
        <v>150</v>
      </c>
      <c r="H233" s="9" t="s">
        <v>841</v>
      </c>
      <c r="I233" s="9" t="s">
        <v>545</v>
      </c>
      <c r="J233" s="9" t="s">
        <v>311</v>
      </c>
      <c r="K233" s="14">
        <v>1900</v>
      </c>
      <c r="L233" s="14">
        <v>655</v>
      </c>
      <c r="M233" s="14">
        <v>180</v>
      </c>
      <c r="N233" s="11">
        <f>(Table1[[#This Row],[NTE Approved ]]-Table1[[#This Row],[Cost]])/Table1[[#This Row],[Cost]]</f>
        <v>2.6388888888888888</v>
      </c>
      <c r="O233" s="9" t="s">
        <v>842</v>
      </c>
      <c r="P233" s="9" t="s">
        <v>28</v>
      </c>
      <c r="Q233" s="13"/>
      <c r="T233" s="8"/>
    </row>
    <row r="234" spans="1:20" s="9" customFormat="1" ht="27" customHeight="1" x14ac:dyDescent="0.3">
      <c r="A234" s="9">
        <v>15201</v>
      </c>
      <c r="B234" s="9" t="s">
        <v>91</v>
      </c>
      <c r="C234" s="13">
        <v>46070</v>
      </c>
      <c r="D234" s="13">
        <v>46071</v>
      </c>
      <c r="E234" s="9" t="s">
        <v>809</v>
      </c>
      <c r="F234" s="9" t="s">
        <v>59</v>
      </c>
      <c r="G234" s="9" t="s">
        <v>269</v>
      </c>
      <c r="H234" s="9" t="s">
        <v>843</v>
      </c>
      <c r="I234" s="9" t="s">
        <v>548</v>
      </c>
      <c r="J234" s="9" t="s">
        <v>195</v>
      </c>
      <c r="K234" s="14">
        <v>1900</v>
      </c>
      <c r="L234" s="14">
        <v>655</v>
      </c>
      <c r="M234" s="14">
        <v>270</v>
      </c>
      <c r="N234" s="11">
        <f>(Table1[[#This Row],[NTE Approved ]]-Table1[[#This Row],[Cost]])/Table1[[#This Row],[Cost]]</f>
        <v>1.4259259259259258</v>
      </c>
      <c r="O234" s="9" t="s">
        <v>844</v>
      </c>
      <c r="P234" s="9" t="s">
        <v>28</v>
      </c>
      <c r="Q234" s="13"/>
      <c r="T234" s="8"/>
    </row>
    <row r="235" spans="1:20" s="9" customFormat="1" ht="27" customHeight="1" x14ac:dyDescent="0.3">
      <c r="A235" s="9">
        <v>15278</v>
      </c>
      <c r="B235" s="9" t="s">
        <v>91</v>
      </c>
      <c r="C235" s="13">
        <v>46066</v>
      </c>
      <c r="D235" s="13">
        <v>46069</v>
      </c>
      <c r="E235" s="9" t="s">
        <v>809</v>
      </c>
      <c r="F235" s="9" t="s">
        <v>59</v>
      </c>
      <c r="G235" s="9" t="s">
        <v>120</v>
      </c>
      <c r="H235" s="9" t="s">
        <v>845</v>
      </c>
      <c r="I235" s="9" t="s">
        <v>846</v>
      </c>
      <c r="J235" s="9" t="s">
        <v>26</v>
      </c>
      <c r="K235" s="14">
        <v>1900</v>
      </c>
      <c r="L235" s="14">
        <v>1316.48</v>
      </c>
      <c r="M235" s="14">
        <v>750</v>
      </c>
      <c r="N235" s="11">
        <f>(Table1[[#This Row],[NTE Approved ]]-Table1[[#This Row],[Cost]])/Table1[[#This Row],[Cost]]</f>
        <v>0.75530666666666668</v>
      </c>
      <c r="O235" s="9" t="s">
        <v>847</v>
      </c>
      <c r="P235" s="9" t="s">
        <v>28</v>
      </c>
      <c r="Q235" s="13"/>
      <c r="T235" s="8"/>
    </row>
    <row r="236" spans="1:20" s="9" customFormat="1" ht="27" customHeight="1" x14ac:dyDescent="0.3">
      <c r="A236" s="9">
        <v>15267</v>
      </c>
      <c r="B236" s="9" t="s">
        <v>80</v>
      </c>
      <c r="C236" s="13">
        <v>46070</v>
      </c>
      <c r="D236" s="13">
        <v>46072</v>
      </c>
      <c r="E236" s="9" t="s">
        <v>809</v>
      </c>
      <c r="F236" s="9" t="s">
        <v>22</v>
      </c>
      <c r="G236" s="9" t="s">
        <v>336</v>
      </c>
      <c r="H236" s="9" t="s">
        <v>848</v>
      </c>
      <c r="I236" s="9" t="s">
        <v>849</v>
      </c>
      <c r="J236" s="9" t="s">
        <v>195</v>
      </c>
      <c r="K236" s="14">
        <v>1900</v>
      </c>
      <c r="L236" s="14">
        <v>482.76</v>
      </c>
      <c r="M236" s="14">
        <v>180</v>
      </c>
      <c r="N236" s="11">
        <f>(Table1[[#This Row],[NTE Approved ]]-Table1[[#This Row],[Cost]])/Table1[[#This Row],[Cost]]</f>
        <v>1.6819999999999999</v>
      </c>
      <c r="O236" s="9" t="s">
        <v>850</v>
      </c>
      <c r="P236" s="9" t="s">
        <v>28</v>
      </c>
      <c r="Q236" s="13"/>
      <c r="T236" s="8"/>
    </row>
    <row r="237" spans="1:20" s="9" customFormat="1" ht="27" customHeight="1" x14ac:dyDescent="0.3">
      <c r="A237" s="9">
        <v>126998</v>
      </c>
      <c r="B237" s="9" t="s">
        <v>163</v>
      </c>
      <c r="C237" s="13">
        <v>46028</v>
      </c>
      <c r="D237" s="13">
        <v>46028</v>
      </c>
      <c r="E237" s="9" t="s">
        <v>739</v>
      </c>
      <c r="F237" s="9" t="s">
        <v>22</v>
      </c>
      <c r="G237" s="9" t="s">
        <v>851</v>
      </c>
      <c r="H237" s="9" t="s">
        <v>852</v>
      </c>
      <c r="I237" s="9" t="s">
        <v>853</v>
      </c>
      <c r="J237" s="9" t="s">
        <v>339</v>
      </c>
      <c r="K237" s="14"/>
      <c r="L237" s="14">
        <v>632.75</v>
      </c>
      <c r="M237" s="14">
        <v>360</v>
      </c>
      <c r="N237" s="11">
        <f>(Table1[[#This Row],[NTE Approved ]]-Table1[[#This Row],[Cost]])/Table1[[#This Row],[Cost]]</f>
        <v>0.75763888888888886</v>
      </c>
      <c r="O237" s="9" t="s">
        <v>854</v>
      </c>
      <c r="P237" s="9" t="s">
        <v>28</v>
      </c>
      <c r="Q237" s="13">
        <v>46041</v>
      </c>
      <c r="T237" s="8"/>
    </row>
    <row r="238" spans="1:20" s="9" customFormat="1" ht="27" customHeight="1" x14ac:dyDescent="0.3">
      <c r="A238" s="9">
        <v>337577402</v>
      </c>
      <c r="B238" s="9" t="s">
        <v>125</v>
      </c>
      <c r="C238" s="13">
        <v>46031</v>
      </c>
      <c r="D238" s="13">
        <v>46038</v>
      </c>
      <c r="E238" s="9" t="s">
        <v>21</v>
      </c>
      <c r="F238" s="9" t="s">
        <v>361</v>
      </c>
      <c r="G238" s="9" t="s">
        <v>855</v>
      </c>
      <c r="H238" s="9" t="s">
        <v>434</v>
      </c>
      <c r="I238" s="9" t="s">
        <v>856</v>
      </c>
      <c r="J238" s="9" t="s">
        <v>56</v>
      </c>
      <c r="K238" s="14">
        <v>250</v>
      </c>
      <c r="L238" s="14">
        <v>150</v>
      </c>
      <c r="M238" s="14">
        <v>75</v>
      </c>
      <c r="N238" s="11">
        <f>(Table1[[#This Row],[NTE Approved ]]-Table1[[#This Row],[Cost]])/Table1[[#This Row],[Cost]]</f>
        <v>1</v>
      </c>
      <c r="O238" s="9" t="s">
        <v>857</v>
      </c>
      <c r="P238" s="9" t="s">
        <v>51</v>
      </c>
      <c r="Q238" s="13"/>
      <c r="T238" s="8"/>
    </row>
    <row r="239" spans="1:20" s="9" customFormat="1" ht="27" customHeight="1" x14ac:dyDescent="0.3">
      <c r="A239" s="9">
        <v>337455876</v>
      </c>
      <c r="B239" s="9" t="s">
        <v>20</v>
      </c>
      <c r="C239" s="13">
        <v>46031</v>
      </c>
      <c r="D239" s="13">
        <v>46031</v>
      </c>
      <c r="E239" s="9" t="s">
        <v>21</v>
      </c>
      <c r="F239" s="9" t="s">
        <v>59</v>
      </c>
      <c r="G239" s="9" t="s">
        <v>858</v>
      </c>
      <c r="H239" s="9" t="s">
        <v>859</v>
      </c>
      <c r="I239" s="9" t="s">
        <v>860</v>
      </c>
      <c r="J239" s="9" t="s">
        <v>26</v>
      </c>
      <c r="K239" s="14">
        <v>1000</v>
      </c>
      <c r="L239" s="14">
        <v>877.5</v>
      </c>
      <c r="M239" s="14">
        <v>382.44</v>
      </c>
      <c r="N239" s="11">
        <f>(Table1[[#This Row],[NTE Approved ]]-Table1[[#This Row],[Cost]])/Table1[[#This Row],[Cost]]</f>
        <v>1.2944775651082523</v>
      </c>
      <c r="O239" s="9" t="s">
        <v>857</v>
      </c>
      <c r="P239" s="9" t="s">
        <v>28</v>
      </c>
      <c r="Q239" s="13"/>
      <c r="T239" s="8"/>
    </row>
    <row r="240" spans="1:20" s="9" customFormat="1" ht="27" customHeight="1" x14ac:dyDescent="0.3">
      <c r="A240" s="9">
        <v>338874889</v>
      </c>
      <c r="B240" s="9" t="s">
        <v>20</v>
      </c>
      <c r="C240" s="13">
        <v>46045</v>
      </c>
      <c r="D240" s="13">
        <v>46045</v>
      </c>
      <c r="E240" s="9" t="s">
        <v>21</v>
      </c>
      <c r="F240" s="9" t="s">
        <v>59</v>
      </c>
      <c r="G240" s="9" t="s">
        <v>120</v>
      </c>
      <c r="H240" s="9" t="s">
        <v>861</v>
      </c>
      <c r="I240" s="9" t="s">
        <v>862</v>
      </c>
      <c r="J240" s="9" t="s">
        <v>195</v>
      </c>
      <c r="K240" s="14">
        <v>700</v>
      </c>
      <c r="L240" s="14">
        <v>849.92</v>
      </c>
      <c r="M240" s="14">
        <v>479.4</v>
      </c>
      <c r="N240" s="11">
        <f>(Table1[[#This Row],[NTE Approved ]]-Table1[[#This Row],[Cost]])/Table1[[#This Row],[Cost]]</f>
        <v>0.77288277012932838</v>
      </c>
      <c r="O240" s="9" t="s">
        <v>863</v>
      </c>
      <c r="P240" s="9" t="s">
        <v>28</v>
      </c>
      <c r="Q240" s="13"/>
      <c r="T240" s="8"/>
    </row>
    <row r="241" spans="1:20" s="9" customFormat="1" ht="27" customHeight="1" x14ac:dyDescent="0.3">
      <c r="A241" s="9">
        <v>338907730</v>
      </c>
      <c r="B241" s="9" t="s">
        <v>20</v>
      </c>
      <c r="C241" s="13">
        <v>46045</v>
      </c>
      <c r="D241" s="13">
        <v>46045</v>
      </c>
      <c r="E241" s="9" t="s">
        <v>21</v>
      </c>
      <c r="F241" s="9" t="s">
        <v>59</v>
      </c>
      <c r="G241" s="9" t="s">
        <v>150</v>
      </c>
      <c r="H241" s="9" t="s">
        <v>859</v>
      </c>
      <c r="I241" s="9" t="s">
        <v>860</v>
      </c>
      <c r="J241" s="9" t="s">
        <v>26</v>
      </c>
      <c r="K241" s="14">
        <v>1000</v>
      </c>
      <c r="L241" s="14">
        <v>968.11</v>
      </c>
      <c r="M241" s="14">
        <v>550</v>
      </c>
      <c r="N241" s="11">
        <f>(Table1[[#This Row],[NTE Approved ]]-Table1[[#This Row],[Cost]])/Table1[[#This Row],[Cost]]</f>
        <v>0.76019999999999999</v>
      </c>
      <c r="O241" s="9" t="s">
        <v>864</v>
      </c>
      <c r="P241" s="9" t="s">
        <v>28</v>
      </c>
      <c r="Q241" s="13"/>
      <c r="T241" s="8"/>
    </row>
    <row r="242" spans="1:20" s="9" customFormat="1" ht="27" customHeight="1" x14ac:dyDescent="0.3">
      <c r="A242" s="9">
        <v>338911604</v>
      </c>
      <c r="B242" s="9" t="s">
        <v>20</v>
      </c>
      <c r="C242" s="13">
        <v>46045</v>
      </c>
      <c r="D242" s="13">
        <v>46047</v>
      </c>
      <c r="E242" s="9" t="s">
        <v>21</v>
      </c>
      <c r="F242" s="9" t="s">
        <v>59</v>
      </c>
      <c r="G242" s="9" t="s">
        <v>269</v>
      </c>
      <c r="H242" s="9" t="s">
        <v>865</v>
      </c>
      <c r="I242" s="9" t="s">
        <v>866</v>
      </c>
      <c r="J242" s="9" t="s">
        <v>42</v>
      </c>
      <c r="K242" s="14">
        <v>700</v>
      </c>
      <c r="L242" s="14">
        <v>544.12</v>
      </c>
      <c r="M242" s="14">
        <v>286.44</v>
      </c>
      <c r="N242" s="11">
        <f>(Table1[[#This Row],[NTE Approved ]]-Table1[[#This Row],[Cost]])/Table1[[#This Row],[Cost]]</f>
        <v>0.89959502862728669</v>
      </c>
      <c r="O242" s="9" t="s">
        <v>867</v>
      </c>
      <c r="P242" s="9" t="s">
        <v>28</v>
      </c>
      <c r="Q242" s="13"/>
      <c r="T242" s="8"/>
    </row>
    <row r="243" spans="1:20" s="9" customFormat="1" ht="27" customHeight="1" x14ac:dyDescent="0.3">
      <c r="A243" s="9">
        <v>338915196</v>
      </c>
      <c r="B243" s="9" t="s">
        <v>20</v>
      </c>
      <c r="C243" s="13">
        <v>46045</v>
      </c>
      <c r="D243" s="13">
        <v>46045</v>
      </c>
      <c r="E243" s="9" t="s">
        <v>21</v>
      </c>
      <c r="F243" s="9" t="s">
        <v>45</v>
      </c>
      <c r="G243" s="9" t="s">
        <v>46</v>
      </c>
      <c r="H243" s="9" t="s">
        <v>868</v>
      </c>
      <c r="I243" s="9" t="s">
        <v>869</v>
      </c>
      <c r="J243" s="9" t="s">
        <v>199</v>
      </c>
      <c r="K243" s="14">
        <v>500</v>
      </c>
      <c r="L243" s="14">
        <v>484.2</v>
      </c>
      <c r="M243" s="14">
        <v>150</v>
      </c>
      <c r="N243" s="11">
        <f>(Table1[[#This Row],[NTE Approved ]]-Table1[[#This Row],[Cost]])/Table1[[#This Row],[Cost]]</f>
        <v>2.2279999999999998</v>
      </c>
      <c r="O243" s="9" t="s">
        <v>870</v>
      </c>
      <c r="P243" s="9" t="s">
        <v>28</v>
      </c>
      <c r="Q243" s="13"/>
      <c r="T243" s="8"/>
    </row>
    <row r="244" spans="1:20" s="9" customFormat="1" ht="27" customHeight="1" x14ac:dyDescent="0.3">
      <c r="A244" s="9">
        <v>339073795</v>
      </c>
      <c r="B244" s="9" t="s">
        <v>20</v>
      </c>
      <c r="C244" s="13">
        <v>46048</v>
      </c>
      <c r="D244" s="13">
        <v>46049</v>
      </c>
      <c r="E244" s="9" t="s">
        <v>21</v>
      </c>
      <c r="F244" s="9" t="s">
        <v>59</v>
      </c>
      <c r="G244" s="9" t="s">
        <v>60</v>
      </c>
      <c r="H244" s="9" t="s">
        <v>871</v>
      </c>
      <c r="I244" s="9" t="s">
        <v>872</v>
      </c>
      <c r="J244" s="9" t="s">
        <v>49</v>
      </c>
      <c r="K244" s="14">
        <v>600</v>
      </c>
      <c r="L244" s="14">
        <v>779.03</v>
      </c>
      <c r="M244" s="14">
        <v>434.21</v>
      </c>
      <c r="N244" s="11">
        <f>(Table1[[#This Row],[NTE Approved ]]-Table1[[#This Row],[Cost]])/Table1[[#This Row],[Cost]]</f>
        <v>0.79413187167499599</v>
      </c>
      <c r="O244" s="9" t="s">
        <v>873</v>
      </c>
      <c r="P244" s="9" t="s">
        <v>28</v>
      </c>
      <c r="Q244" s="13"/>
      <c r="T244" s="8"/>
    </row>
    <row r="245" spans="1:20" s="9" customFormat="1" ht="27" customHeight="1" x14ac:dyDescent="0.3">
      <c r="A245" s="9">
        <v>339198887</v>
      </c>
      <c r="B245" s="9" t="s">
        <v>20</v>
      </c>
      <c r="C245" s="13">
        <v>46048</v>
      </c>
      <c r="D245" s="13">
        <v>46048</v>
      </c>
      <c r="E245" s="9" t="s">
        <v>21</v>
      </c>
      <c r="F245" s="9" t="s">
        <v>59</v>
      </c>
      <c r="G245" s="9" t="s">
        <v>858</v>
      </c>
      <c r="H245" s="9" t="s">
        <v>874</v>
      </c>
      <c r="I245" s="9" t="s">
        <v>875</v>
      </c>
      <c r="J245" s="9" t="s">
        <v>104</v>
      </c>
      <c r="K245" s="14">
        <v>950</v>
      </c>
      <c r="L245" s="14">
        <v>1768.55</v>
      </c>
      <c r="M245" s="14">
        <v>950</v>
      </c>
      <c r="N245" s="11">
        <f>(Table1[[#This Row],[NTE Approved ]]-Table1[[#This Row],[Cost]])/Table1[[#This Row],[Cost]]</f>
        <v>0.86163157894736842</v>
      </c>
      <c r="O245" s="9" t="s">
        <v>876</v>
      </c>
      <c r="P245" s="9" t="s">
        <v>28</v>
      </c>
      <c r="Q245" s="13"/>
      <c r="T245" s="8"/>
    </row>
    <row r="246" spans="1:20" s="9" customFormat="1" ht="27" customHeight="1" x14ac:dyDescent="0.3">
      <c r="A246" s="9">
        <v>339394624</v>
      </c>
      <c r="B246" s="9" t="s">
        <v>73</v>
      </c>
      <c r="C246" s="13">
        <v>46050</v>
      </c>
      <c r="D246" s="13">
        <v>46050</v>
      </c>
      <c r="E246" s="9" t="s">
        <v>21</v>
      </c>
      <c r="F246" s="9" t="s">
        <v>59</v>
      </c>
      <c r="G246" s="9" t="s">
        <v>138</v>
      </c>
      <c r="H246" s="9" t="s">
        <v>877</v>
      </c>
      <c r="I246" s="9" t="s">
        <v>878</v>
      </c>
      <c r="J246" s="9" t="s">
        <v>63</v>
      </c>
      <c r="K246" s="14">
        <v>550</v>
      </c>
      <c r="L246" s="14">
        <v>497.23</v>
      </c>
      <c r="M246" s="14">
        <v>220</v>
      </c>
      <c r="N246" s="11">
        <f>(Table1[[#This Row],[NTE Approved ]]-Table1[[#This Row],[Cost]])/Table1[[#This Row],[Cost]]</f>
        <v>1.2601363636363636</v>
      </c>
      <c r="O246" s="9" t="s">
        <v>879</v>
      </c>
      <c r="P246" s="9" t="s">
        <v>28</v>
      </c>
      <c r="Q246" s="13"/>
      <c r="T246" s="8"/>
    </row>
    <row r="247" spans="1:20" s="9" customFormat="1" ht="27" customHeight="1" x14ac:dyDescent="0.3">
      <c r="A247" s="9">
        <v>338551358</v>
      </c>
      <c r="B247" s="9" t="s">
        <v>20</v>
      </c>
      <c r="C247" s="13">
        <v>46042</v>
      </c>
      <c r="D247" s="13">
        <v>46048</v>
      </c>
      <c r="E247" s="9" t="s">
        <v>21</v>
      </c>
      <c r="F247" s="9" t="s">
        <v>22</v>
      </c>
      <c r="G247" s="9" t="s">
        <v>880</v>
      </c>
      <c r="H247" s="9" t="s">
        <v>881</v>
      </c>
      <c r="I247" s="9" t="s">
        <v>882</v>
      </c>
      <c r="J247" s="9" t="s">
        <v>104</v>
      </c>
      <c r="K247" s="14">
        <v>750</v>
      </c>
      <c r="L247" s="14">
        <v>1203.99</v>
      </c>
      <c r="M247" s="14">
        <v>600</v>
      </c>
      <c r="N247" s="11">
        <f>(Table1[[#This Row],[NTE Approved ]]-Table1[[#This Row],[Cost]])/Table1[[#This Row],[Cost]]</f>
        <v>1.00665</v>
      </c>
      <c r="O247" s="9" t="s">
        <v>883</v>
      </c>
      <c r="P247" s="9" t="s">
        <v>28</v>
      </c>
      <c r="Q247" s="13">
        <v>46048</v>
      </c>
      <c r="T247" s="8"/>
    </row>
    <row r="248" spans="1:20" s="9" customFormat="1" ht="27" customHeight="1" x14ac:dyDescent="0.3">
      <c r="A248" s="9">
        <v>335058684</v>
      </c>
      <c r="B248" s="9" t="s">
        <v>20</v>
      </c>
      <c r="C248" s="13">
        <v>46009</v>
      </c>
      <c r="D248" s="13">
        <v>46011</v>
      </c>
      <c r="E248" s="9" t="s">
        <v>21</v>
      </c>
      <c r="F248" s="9" t="s">
        <v>59</v>
      </c>
      <c r="G248" s="9" t="s">
        <v>884</v>
      </c>
      <c r="H248" s="9" t="s">
        <v>885</v>
      </c>
      <c r="I248" s="9" t="s">
        <v>222</v>
      </c>
      <c r="J248" s="9" t="s">
        <v>104</v>
      </c>
      <c r="K248" s="14">
        <v>450</v>
      </c>
      <c r="L248" s="14">
        <v>3252.18</v>
      </c>
      <c r="M248" s="14">
        <v>1800</v>
      </c>
      <c r="N248" s="11">
        <f>(Table1[[#This Row],[NTE Approved ]]-Table1[[#This Row],[Cost]])/Table1[[#This Row],[Cost]]</f>
        <v>0.80676666666666652</v>
      </c>
      <c r="O248" s="9" t="s">
        <v>883</v>
      </c>
      <c r="P248" s="9" t="s">
        <v>28</v>
      </c>
      <c r="Q248" s="13">
        <v>46050</v>
      </c>
      <c r="T248" s="8"/>
    </row>
    <row r="249" spans="1:20" s="9" customFormat="1" ht="27" customHeight="1" x14ac:dyDescent="0.3">
      <c r="A249" s="9">
        <v>338539767</v>
      </c>
      <c r="B249" s="9" t="s">
        <v>20</v>
      </c>
      <c r="C249" s="13">
        <v>46050</v>
      </c>
      <c r="D249" s="13">
        <v>46059</v>
      </c>
      <c r="E249" s="9" t="s">
        <v>21</v>
      </c>
      <c r="F249" s="9" t="s">
        <v>22</v>
      </c>
      <c r="G249" s="9" t="s">
        <v>886</v>
      </c>
      <c r="H249" s="9" t="s">
        <v>887</v>
      </c>
      <c r="I249" s="9" t="s">
        <v>888</v>
      </c>
      <c r="J249" s="9" t="s">
        <v>56</v>
      </c>
      <c r="K249" s="14">
        <v>250</v>
      </c>
      <c r="L249" s="14">
        <v>247.58</v>
      </c>
      <c r="M249" s="14">
        <v>130</v>
      </c>
      <c r="N249" s="11">
        <f>(Table1[[#This Row],[NTE Approved ]]-Table1[[#This Row],[Cost]])/Table1[[#This Row],[Cost]]</f>
        <v>0.90446153846153854</v>
      </c>
      <c r="O249" s="9" t="s">
        <v>889</v>
      </c>
      <c r="P249" s="9" t="s">
        <v>28</v>
      </c>
      <c r="Q249" s="13"/>
      <c r="T249" s="8"/>
    </row>
    <row r="250" spans="1:20" s="9" customFormat="1" ht="27" customHeight="1" x14ac:dyDescent="0.3">
      <c r="A250" s="9">
        <v>339510657</v>
      </c>
      <c r="B250" s="9" t="s">
        <v>20</v>
      </c>
      <c r="C250" s="13">
        <v>46051</v>
      </c>
      <c r="D250" s="13">
        <v>46052</v>
      </c>
      <c r="E250" s="9" t="s">
        <v>21</v>
      </c>
      <c r="F250" s="9" t="s">
        <v>59</v>
      </c>
      <c r="G250" s="9" t="s">
        <v>890</v>
      </c>
      <c r="H250" s="9" t="s">
        <v>891</v>
      </c>
      <c r="I250" s="9" t="s">
        <v>892</v>
      </c>
      <c r="J250" s="9" t="s">
        <v>56</v>
      </c>
      <c r="K250" s="14">
        <v>500</v>
      </c>
      <c r="L250" s="14">
        <v>431.39</v>
      </c>
      <c r="M250" s="14">
        <v>225</v>
      </c>
      <c r="N250" s="11">
        <f>(Table1[[#This Row],[NTE Approved ]]-Table1[[#This Row],[Cost]])/Table1[[#This Row],[Cost]]</f>
        <v>0.91728888888888882</v>
      </c>
      <c r="O250" s="9" t="s">
        <v>893</v>
      </c>
      <c r="P250" s="9" t="s">
        <v>28</v>
      </c>
      <c r="Q250" s="13"/>
      <c r="T250" s="8"/>
    </row>
    <row r="251" spans="1:20" s="9" customFormat="1" ht="27" customHeight="1" x14ac:dyDescent="0.3">
      <c r="A251" s="9">
        <v>339550108</v>
      </c>
      <c r="B251" s="9" t="s">
        <v>73</v>
      </c>
      <c r="C251" s="13">
        <v>46051</v>
      </c>
      <c r="D251" s="13">
        <v>46051</v>
      </c>
      <c r="E251" s="9" t="s">
        <v>21</v>
      </c>
      <c r="F251" s="9" t="s">
        <v>59</v>
      </c>
      <c r="G251" s="9" t="s">
        <v>60</v>
      </c>
      <c r="H251" s="9" t="s">
        <v>521</v>
      </c>
      <c r="I251" s="9" t="s">
        <v>522</v>
      </c>
      <c r="J251" s="9" t="s">
        <v>49</v>
      </c>
      <c r="K251" s="14">
        <v>950</v>
      </c>
      <c r="L251" s="14">
        <v>762.3</v>
      </c>
      <c r="M251" s="14">
        <v>285.45</v>
      </c>
      <c r="N251" s="11">
        <f>(Table1[[#This Row],[NTE Approved ]]-Table1[[#This Row],[Cost]])/Table1[[#This Row],[Cost]]</f>
        <v>1.6705202312138727</v>
      </c>
      <c r="O251" s="9" t="s">
        <v>894</v>
      </c>
      <c r="P251" s="9" t="s">
        <v>28</v>
      </c>
      <c r="Q251" s="13"/>
      <c r="T251" s="8"/>
    </row>
    <row r="252" spans="1:20" s="9" customFormat="1" ht="27" customHeight="1" x14ac:dyDescent="0.3">
      <c r="A252" s="9">
        <v>339371449</v>
      </c>
      <c r="B252" s="9" t="s">
        <v>20</v>
      </c>
      <c r="C252" s="13">
        <v>46050</v>
      </c>
      <c r="D252" s="13">
        <v>46050</v>
      </c>
      <c r="E252" s="9" t="s">
        <v>21</v>
      </c>
      <c r="F252" s="9" t="s">
        <v>59</v>
      </c>
      <c r="G252" s="9" t="s">
        <v>60</v>
      </c>
      <c r="H252" s="9" t="s">
        <v>895</v>
      </c>
      <c r="I252" s="9" t="s">
        <v>896</v>
      </c>
      <c r="J252" s="9" t="s">
        <v>216</v>
      </c>
      <c r="K252" s="14">
        <v>500</v>
      </c>
      <c r="L252" s="14">
        <v>931.28</v>
      </c>
      <c r="M252" s="14">
        <v>460</v>
      </c>
      <c r="N252" s="11">
        <f>(Table1[[#This Row],[NTE Approved ]]-Table1[[#This Row],[Cost]])/Table1[[#This Row],[Cost]]</f>
        <v>1.0245217391304346</v>
      </c>
      <c r="O252" s="9" t="s">
        <v>897</v>
      </c>
      <c r="P252" s="9" t="s">
        <v>28</v>
      </c>
      <c r="Q252" s="13"/>
      <c r="T252" s="8"/>
    </row>
    <row r="253" spans="1:20" s="9" customFormat="1" ht="27" customHeight="1" x14ac:dyDescent="0.3">
      <c r="A253" s="9">
        <v>338670243</v>
      </c>
      <c r="B253" s="9" t="s">
        <v>125</v>
      </c>
      <c r="C253" s="13">
        <v>46043</v>
      </c>
      <c r="D253" s="13">
        <v>46044</v>
      </c>
      <c r="E253" s="9" t="s">
        <v>21</v>
      </c>
      <c r="F253" s="9" t="s">
        <v>45</v>
      </c>
      <c r="G253" s="9" t="s">
        <v>46</v>
      </c>
      <c r="H253" s="9" t="s">
        <v>898</v>
      </c>
      <c r="I253" s="9" t="s">
        <v>899</v>
      </c>
      <c r="J253" s="9" t="s">
        <v>63</v>
      </c>
      <c r="K253" s="14">
        <v>550</v>
      </c>
      <c r="L253" s="14">
        <v>537.24</v>
      </c>
      <c r="M253" s="14">
        <v>225</v>
      </c>
      <c r="N253" s="11">
        <f>(Table1[[#This Row],[NTE Approved ]]-Table1[[#This Row],[Cost]])/Table1[[#This Row],[Cost]]</f>
        <v>1.3877333333333333</v>
      </c>
      <c r="O253" s="9" t="s">
        <v>900</v>
      </c>
      <c r="P253" s="9" t="s">
        <v>28</v>
      </c>
      <c r="Q253" s="13"/>
      <c r="T253" s="8"/>
    </row>
    <row r="254" spans="1:20" s="9" customFormat="1" ht="27" customHeight="1" x14ac:dyDescent="0.3">
      <c r="A254" s="9">
        <v>338693596</v>
      </c>
      <c r="B254" s="9" t="s">
        <v>91</v>
      </c>
      <c r="C254" s="13">
        <v>46043</v>
      </c>
      <c r="D254" s="13">
        <v>46049</v>
      </c>
      <c r="E254" s="9" t="s">
        <v>21</v>
      </c>
      <c r="F254" s="9" t="s">
        <v>22</v>
      </c>
      <c r="G254" s="9" t="s">
        <v>224</v>
      </c>
      <c r="H254" s="9" t="s">
        <v>710</v>
      </c>
      <c r="I254" s="9" t="s">
        <v>901</v>
      </c>
      <c r="J254" s="9" t="s">
        <v>42</v>
      </c>
      <c r="K254" s="14">
        <v>1500</v>
      </c>
      <c r="L254" s="14">
        <v>2478.89</v>
      </c>
      <c r="M254" s="14">
        <v>1415</v>
      </c>
      <c r="N254" s="11">
        <f>(Table1[[#This Row],[NTE Approved ]]-Table1[[#This Row],[Cost]])/Table1[[#This Row],[Cost]]</f>
        <v>0.75186572438162536</v>
      </c>
      <c r="O254" s="9" t="s">
        <v>902</v>
      </c>
      <c r="P254" s="9" t="s">
        <v>28</v>
      </c>
      <c r="Q254" s="13"/>
      <c r="T254" s="8"/>
    </row>
    <row r="255" spans="1:20" s="9" customFormat="1" ht="27" customHeight="1" x14ac:dyDescent="0.3">
      <c r="A255" s="9">
        <v>338654209</v>
      </c>
      <c r="B255" s="9" t="s">
        <v>29</v>
      </c>
      <c r="C255" s="13">
        <v>46050</v>
      </c>
      <c r="D255" s="13">
        <v>46059</v>
      </c>
      <c r="E255" s="9" t="s">
        <v>21</v>
      </c>
      <c r="F255" s="9" t="s">
        <v>22</v>
      </c>
      <c r="G255" s="9" t="s">
        <v>69</v>
      </c>
      <c r="H255" s="9" t="s">
        <v>903</v>
      </c>
      <c r="I255" s="9" t="s">
        <v>904</v>
      </c>
      <c r="J255" s="9" t="s">
        <v>63</v>
      </c>
      <c r="K255" s="14">
        <v>250</v>
      </c>
      <c r="L255" s="14">
        <v>246.93</v>
      </c>
      <c r="M255" s="14">
        <v>79</v>
      </c>
      <c r="N255" s="11">
        <f>(Table1[[#This Row],[NTE Approved ]]-Table1[[#This Row],[Cost]])/Table1[[#This Row],[Cost]]</f>
        <v>2.1256962025316457</v>
      </c>
      <c r="O255" s="9" t="s">
        <v>905</v>
      </c>
      <c r="P255" s="9" t="s">
        <v>28</v>
      </c>
      <c r="Q255" s="13"/>
      <c r="T255" s="8"/>
    </row>
    <row r="256" spans="1:20" s="9" customFormat="1" ht="27" customHeight="1" x14ac:dyDescent="0.3">
      <c r="A256" s="9">
        <v>339712145</v>
      </c>
      <c r="B256" s="9" t="s">
        <v>163</v>
      </c>
      <c r="C256" s="13">
        <v>46052</v>
      </c>
      <c r="D256" s="13">
        <v>46053</v>
      </c>
      <c r="E256" s="9" t="s">
        <v>21</v>
      </c>
      <c r="F256" s="9" t="s">
        <v>30</v>
      </c>
      <c r="G256" s="9" t="s">
        <v>126</v>
      </c>
      <c r="H256" s="9" t="s">
        <v>906</v>
      </c>
      <c r="I256" s="9" t="s">
        <v>907</v>
      </c>
      <c r="J256" s="9" t="s">
        <v>199</v>
      </c>
      <c r="K256" s="14">
        <v>500</v>
      </c>
      <c r="L256" s="14">
        <v>487.22</v>
      </c>
      <c r="M256" s="14">
        <v>275</v>
      </c>
      <c r="N256" s="11">
        <f>(Table1[[#This Row],[NTE Approved ]]-Table1[[#This Row],[Cost]])/Table1[[#This Row],[Cost]]</f>
        <v>0.77170909090909101</v>
      </c>
      <c r="O256" s="9" t="s">
        <v>908</v>
      </c>
      <c r="P256" s="9" t="s">
        <v>28</v>
      </c>
      <c r="Q256" s="13"/>
      <c r="T256" s="8"/>
    </row>
    <row r="257" spans="1:20" s="9" customFormat="1" ht="27" customHeight="1" x14ac:dyDescent="0.3">
      <c r="A257" s="9">
        <v>339721410</v>
      </c>
      <c r="B257" s="9" t="s">
        <v>73</v>
      </c>
      <c r="C257" s="13">
        <v>46052</v>
      </c>
      <c r="D257" s="13">
        <v>46056</v>
      </c>
      <c r="E257" s="9" t="s">
        <v>21</v>
      </c>
      <c r="F257" s="9" t="s">
        <v>759</v>
      </c>
      <c r="G257" s="9" t="s">
        <v>837</v>
      </c>
      <c r="H257" s="25" t="s">
        <v>909</v>
      </c>
      <c r="I257" s="9" t="s">
        <v>910</v>
      </c>
      <c r="J257" s="9" t="s">
        <v>104</v>
      </c>
      <c r="K257" s="14">
        <v>450</v>
      </c>
      <c r="L257" s="14">
        <v>263.35000000000002</v>
      </c>
      <c r="M257" s="14">
        <v>150</v>
      </c>
      <c r="N257" s="11">
        <f>(Table1[[#This Row],[NTE Approved ]]-Table1[[#This Row],[Cost]])/Table1[[#This Row],[Cost]]</f>
        <v>0.75566666666666682</v>
      </c>
      <c r="O257" s="9" t="s">
        <v>911</v>
      </c>
      <c r="P257" s="9" t="s">
        <v>28</v>
      </c>
      <c r="Q257" s="13"/>
      <c r="T257" s="8"/>
    </row>
    <row r="258" spans="1:20" s="9" customFormat="1" ht="27" customHeight="1" x14ac:dyDescent="0.3">
      <c r="A258" s="9">
        <v>337956807</v>
      </c>
      <c r="B258" s="9" t="s">
        <v>125</v>
      </c>
      <c r="C258" s="13">
        <v>46055</v>
      </c>
      <c r="D258" s="13">
        <v>46026</v>
      </c>
      <c r="E258" s="9" t="s">
        <v>21</v>
      </c>
      <c r="F258" s="9" t="s">
        <v>22</v>
      </c>
      <c r="G258" s="9" t="s">
        <v>69</v>
      </c>
      <c r="H258" s="9" t="s">
        <v>912</v>
      </c>
      <c r="I258" s="9" t="s">
        <v>913</v>
      </c>
      <c r="J258" s="9" t="s">
        <v>42</v>
      </c>
      <c r="K258" s="14">
        <v>350</v>
      </c>
      <c r="L258" s="14">
        <v>322.5</v>
      </c>
      <c r="M258" s="14">
        <v>165</v>
      </c>
      <c r="N258" s="11">
        <f>(Table1[[#This Row],[NTE Approved ]]-Table1[[#This Row],[Cost]])/Table1[[#This Row],[Cost]]</f>
        <v>0.95454545454545459</v>
      </c>
      <c r="O258" s="9" t="s">
        <v>914</v>
      </c>
      <c r="P258" s="9" t="s">
        <v>28</v>
      </c>
      <c r="Q258" s="13"/>
      <c r="T258" s="8"/>
    </row>
    <row r="259" spans="1:20" s="9" customFormat="1" ht="27" customHeight="1" x14ac:dyDescent="0.3">
      <c r="A259" s="9">
        <v>339413542</v>
      </c>
      <c r="B259" s="9" t="s">
        <v>163</v>
      </c>
      <c r="C259" s="13">
        <v>46050</v>
      </c>
      <c r="D259" s="13">
        <v>46056</v>
      </c>
      <c r="E259" s="9" t="s">
        <v>21</v>
      </c>
      <c r="F259" s="9" t="s">
        <v>22</v>
      </c>
      <c r="G259" s="9" t="s">
        <v>224</v>
      </c>
      <c r="H259" s="9" t="s">
        <v>915</v>
      </c>
      <c r="I259" s="9" t="s">
        <v>916</v>
      </c>
      <c r="J259" s="9" t="s">
        <v>235</v>
      </c>
      <c r="K259" s="14">
        <v>1500</v>
      </c>
      <c r="L259" s="14">
        <v>1209.5999999999999</v>
      </c>
      <c r="M259" s="14">
        <v>400</v>
      </c>
      <c r="N259" s="11">
        <f>(Table1[[#This Row],[NTE Approved ]]-Table1[[#This Row],[Cost]])/Table1[[#This Row],[Cost]]</f>
        <v>2.0239999999999996</v>
      </c>
      <c r="O259" s="9" t="s">
        <v>635</v>
      </c>
      <c r="P259" s="9" t="s">
        <v>28</v>
      </c>
      <c r="Q259" s="13"/>
      <c r="T259" s="8"/>
    </row>
    <row r="260" spans="1:20" s="9" customFormat="1" ht="27" customHeight="1" x14ac:dyDescent="0.3">
      <c r="A260" s="9">
        <v>339060485</v>
      </c>
      <c r="B260" s="9" t="s">
        <v>91</v>
      </c>
      <c r="C260" s="13">
        <v>46048</v>
      </c>
      <c r="D260" s="13">
        <v>46048</v>
      </c>
      <c r="E260" s="9" t="s">
        <v>21</v>
      </c>
      <c r="F260" s="9" t="s">
        <v>38</v>
      </c>
      <c r="G260" s="9" t="s">
        <v>917</v>
      </c>
      <c r="H260" s="9" t="s">
        <v>918</v>
      </c>
      <c r="I260" s="9" t="s">
        <v>919</v>
      </c>
      <c r="J260" s="9" t="s">
        <v>63</v>
      </c>
      <c r="K260" s="14">
        <v>750</v>
      </c>
      <c r="L260" s="14">
        <v>654.78</v>
      </c>
      <c r="M260" s="14">
        <v>342</v>
      </c>
      <c r="N260" s="11">
        <f>(Table1[[#This Row],[NTE Approved ]]-Table1[[#This Row],[Cost]])/Table1[[#This Row],[Cost]]</f>
        <v>0.9145614035087718</v>
      </c>
      <c r="O260" s="9" t="s">
        <v>920</v>
      </c>
      <c r="P260" s="9" t="s">
        <v>28</v>
      </c>
      <c r="Q260" s="13"/>
      <c r="T260" s="8"/>
    </row>
    <row r="261" spans="1:20" s="9" customFormat="1" ht="27" customHeight="1" x14ac:dyDescent="0.3">
      <c r="A261" s="9">
        <v>337413525</v>
      </c>
      <c r="B261" s="9" t="s">
        <v>295</v>
      </c>
      <c r="C261" s="13">
        <v>46055</v>
      </c>
      <c r="D261" s="13">
        <v>46057</v>
      </c>
      <c r="E261" s="9" t="s">
        <v>21</v>
      </c>
      <c r="F261" s="9" t="s">
        <v>22</v>
      </c>
      <c r="G261" s="9" t="s">
        <v>466</v>
      </c>
      <c r="H261" s="9" t="s">
        <v>722</v>
      </c>
      <c r="I261" s="9" t="s">
        <v>723</v>
      </c>
      <c r="J261" s="9" t="s">
        <v>195</v>
      </c>
      <c r="K261" s="14">
        <v>250</v>
      </c>
      <c r="L261" s="14">
        <v>243</v>
      </c>
      <c r="M261" s="14">
        <v>125</v>
      </c>
      <c r="N261" s="11">
        <f>(Table1[[#This Row],[NTE Approved ]]-Table1[[#This Row],[Cost]])/Table1[[#This Row],[Cost]]</f>
        <v>0.94399999999999995</v>
      </c>
      <c r="O261" s="9" t="s">
        <v>921</v>
      </c>
      <c r="P261" s="9" t="s">
        <v>28</v>
      </c>
      <c r="Q261" s="13"/>
      <c r="T261" s="8"/>
    </row>
    <row r="262" spans="1:20" s="9" customFormat="1" ht="27" customHeight="1" x14ac:dyDescent="0.3">
      <c r="A262" s="9">
        <v>339847235</v>
      </c>
      <c r="B262" s="9" t="s">
        <v>295</v>
      </c>
      <c r="C262" s="13">
        <v>46055</v>
      </c>
      <c r="D262" s="13">
        <v>46057</v>
      </c>
      <c r="E262" s="9" t="s">
        <v>21</v>
      </c>
      <c r="F262" s="9" t="s">
        <v>59</v>
      </c>
      <c r="G262" s="9" t="s">
        <v>60</v>
      </c>
      <c r="H262" s="9" t="s">
        <v>922</v>
      </c>
      <c r="I262" s="9" t="s">
        <v>923</v>
      </c>
      <c r="J262" s="9" t="s">
        <v>49</v>
      </c>
      <c r="K262" s="14">
        <v>600</v>
      </c>
      <c r="L262" s="14">
        <v>447.8</v>
      </c>
      <c r="M262" s="14">
        <v>250</v>
      </c>
      <c r="N262" s="11">
        <f>(Table1[[#This Row],[NTE Approved ]]-Table1[[#This Row],[Cost]])/Table1[[#This Row],[Cost]]</f>
        <v>0.79120000000000001</v>
      </c>
      <c r="O262" s="9" t="s">
        <v>924</v>
      </c>
      <c r="P262" s="9" t="s">
        <v>28</v>
      </c>
      <c r="Q262" s="13"/>
      <c r="T262" s="8"/>
    </row>
    <row r="263" spans="1:20" s="9" customFormat="1" ht="27" customHeight="1" x14ac:dyDescent="0.3">
      <c r="A263" s="9">
        <v>339064259</v>
      </c>
      <c r="B263" s="9" t="s">
        <v>29</v>
      </c>
      <c r="C263" s="13">
        <v>46048</v>
      </c>
      <c r="D263" s="13">
        <v>46048</v>
      </c>
      <c r="E263" s="9" t="s">
        <v>21</v>
      </c>
      <c r="F263" s="9" t="s">
        <v>30</v>
      </c>
      <c r="G263" s="9" t="s">
        <v>126</v>
      </c>
      <c r="H263" s="9" t="s">
        <v>925</v>
      </c>
      <c r="I263" s="9" t="s">
        <v>926</v>
      </c>
      <c r="J263" s="9" t="s">
        <v>290</v>
      </c>
      <c r="K263" s="14">
        <v>750</v>
      </c>
      <c r="L263" s="14">
        <v>500.04</v>
      </c>
      <c r="M263" s="14">
        <v>265</v>
      </c>
      <c r="N263" s="11">
        <f>(Table1[[#This Row],[NTE Approved ]]-Table1[[#This Row],[Cost]])/Table1[[#This Row],[Cost]]</f>
        <v>0.88694339622641516</v>
      </c>
      <c r="O263" s="9" t="s">
        <v>927</v>
      </c>
      <c r="P263" s="9" t="s">
        <v>28</v>
      </c>
      <c r="Q263" s="13"/>
      <c r="T263" s="8"/>
    </row>
    <row r="264" spans="1:20" s="9" customFormat="1" ht="27" customHeight="1" x14ac:dyDescent="0.3">
      <c r="A264" s="9">
        <v>337997931</v>
      </c>
      <c r="B264" s="9" t="s">
        <v>29</v>
      </c>
      <c r="C264" s="13">
        <v>46050</v>
      </c>
      <c r="D264" s="13">
        <v>46057</v>
      </c>
      <c r="E264" s="9" t="s">
        <v>21</v>
      </c>
      <c r="F264" s="9" t="s">
        <v>22</v>
      </c>
      <c r="G264" s="9" t="s">
        <v>928</v>
      </c>
      <c r="H264" s="9" t="s">
        <v>929</v>
      </c>
      <c r="I264" s="9" t="s">
        <v>930</v>
      </c>
      <c r="J264" s="9" t="s">
        <v>49</v>
      </c>
      <c r="K264" s="14">
        <v>450</v>
      </c>
      <c r="L264" s="14">
        <v>170</v>
      </c>
      <c r="M264" s="14">
        <v>135.76</v>
      </c>
      <c r="N264" s="11">
        <f>(Table1[[#This Row],[NTE Approved ]]-Table1[[#This Row],[Cost]])/Table1[[#This Row],[Cost]]</f>
        <v>0.25220978196817923</v>
      </c>
      <c r="O264" s="9" t="s">
        <v>931</v>
      </c>
      <c r="P264" s="9" t="s">
        <v>51</v>
      </c>
      <c r="Q264" s="13"/>
      <c r="T264" s="8"/>
    </row>
    <row r="265" spans="1:20" s="9" customFormat="1" ht="27" customHeight="1" x14ac:dyDescent="0.3">
      <c r="A265" s="9">
        <v>336542826</v>
      </c>
      <c r="B265" s="9" t="s">
        <v>29</v>
      </c>
      <c r="C265" s="13">
        <v>46055</v>
      </c>
      <c r="D265" s="13">
        <v>46057</v>
      </c>
      <c r="E265" s="9" t="s">
        <v>21</v>
      </c>
      <c r="F265" s="9" t="s">
        <v>22</v>
      </c>
      <c r="G265" s="9" t="s">
        <v>92</v>
      </c>
      <c r="H265" s="9" t="s">
        <v>932</v>
      </c>
      <c r="I265" s="9" t="s">
        <v>933</v>
      </c>
      <c r="J265" s="9" t="s">
        <v>400</v>
      </c>
      <c r="K265" s="14">
        <v>250</v>
      </c>
      <c r="L265" s="14">
        <v>225</v>
      </c>
      <c r="M265" s="14">
        <v>100</v>
      </c>
      <c r="N265" s="11">
        <f>(Table1[[#This Row],[NTE Approved ]]-Table1[[#This Row],[Cost]])/Table1[[#This Row],[Cost]]</f>
        <v>1.25</v>
      </c>
      <c r="O265" s="9" t="s">
        <v>934</v>
      </c>
      <c r="P265" s="9" t="s">
        <v>28</v>
      </c>
      <c r="Q265" s="13"/>
      <c r="T265" s="8"/>
    </row>
    <row r="266" spans="1:20" s="9" customFormat="1" ht="27" customHeight="1" x14ac:dyDescent="0.3">
      <c r="A266" s="9">
        <v>338898094</v>
      </c>
      <c r="B266" s="9" t="s">
        <v>163</v>
      </c>
      <c r="C266" s="13">
        <v>46045</v>
      </c>
      <c r="D266" s="13">
        <v>46049</v>
      </c>
      <c r="E266" s="9" t="s">
        <v>21</v>
      </c>
      <c r="F266" s="9" t="s">
        <v>59</v>
      </c>
      <c r="G266" s="9" t="s">
        <v>583</v>
      </c>
      <c r="H266" s="9" t="s">
        <v>935</v>
      </c>
      <c r="I266" s="9" t="s">
        <v>936</v>
      </c>
      <c r="J266" s="9" t="s">
        <v>49</v>
      </c>
      <c r="K266" s="14">
        <v>550</v>
      </c>
      <c r="L266" s="14">
        <v>450.65</v>
      </c>
      <c r="M266" s="14">
        <v>25</v>
      </c>
      <c r="N266" s="11">
        <f>(Table1[[#This Row],[NTE Approved ]]-Table1[[#This Row],[Cost]])/Table1[[#This Row],[Cost]]</f>
        <v>17.026</v>
      </c>
      <c r="O266" s="9" t="s">
        <v>937</v>
      </c>
      <c r="P266" s="9" t="s">
        <v>28</v>
      </c>
      <c r="Q266" s="13"/>
      <c r="T266" s="8"/>
    </row>
    <row r="267" spans="1:20" s="9" customFormat="1" ht="27" customHeight="1" x14ac:dyDescent="0.3">
      <c r="A267" s="9">
        <v>340086066</v>
      </c>
      <c r="B267" s="9" t="s">
        <v>163</v>
      </c>
      <c r="C267" s="13">
        <v>46055</v>
      </c>
      <c r="D267" s="13">
        <v>46057</v>
      </c>
      <c r="E267" s="9" t="s">
        <v>21</v>
      </c>
      <c r="F267" s="9" t="s">
        <v>59</v>
      </c>
      <c r="G267" s="9" t="s">
        <v>138</v>
      </c>
      <c r="H267" s="9" t="s">
        <v>938</v>
      </c>
      <c r="I267" s="9" t="s">
        <v>939</v>
      </c>
      <c r="J267" s="9" t="s">
        <v>56</v>
      </c>
      <c r="K267" s="14">
        <v>550</v>
      </c>
      <c r="L267" s="26">
        <v>276.41000000000003</v>
      </c>
      <c r="M267" s="14">
        <v>120</v>
      </c>
      <c r="N267" s="11">
        <f>(Table1[[#This Row],[NTE Approved ]]-Table1[[#This Row],[Cost]])/Table1[[#This Row],[Cost]]</f>
        <v>1.3034166666666669</v>
      </c>
      <c r="O267" s="9" t="s">
        <v>940</v>
      </c>
      <c r="P267" s="9" t="s">
        <v>28</v>
      </c>
      <c r="Q267" s="13"/>
      <c r="T267" s="8"/>
    </row>
    <row r="268" spans="1:20" s="9" customFormat="1" ht="27" customHeight="1" x14ac:dyDescent="0.3">
      <c r="A268" s="9">
        <v>340404433</v>
      </c>
      <c r="B268" s="9" t="s">
        <v>80</v>
      </c>
      <c r="C268" s="13">
        <v>46057</v>
      </c>
      <c r="D268" s="13">
        <v>46058</v>
      </c>
      <c r="E268" s="9" t="s">
        <v>21</v>
      </c>
      <c r="F268" s="9" t="s">
        <v>30</v>
      </c>
      <c r="G268" s="9" t="s">
        <v>126</v>
      </c>
      <c r="H268" s="9" t="s">
        <v>941</v>
      </c>
      <c r="I268" s="9" t="s">
        <v>942</v>
      </c>
      <c r="J268" s="9" t="s">
        <v>339</v>
      </c>
      <c r="K268" s="14">
        <v>750</v>
      </c>
      <c r="L268" s="14">
        <v>745.17</v>
      </c>
      <c r="M268" s="14">
        <v>420</v>
      </c>
      <c r="N268" s="11">
        <f>(Table1[[#This Row],[NTE Approved ]]-Table1[[#This Row],[Cost]])/Table1[[#This Row],[Cost]]</f>
        <v>0.77421428571428563</v>
      </c>
      <c r="O268" s="9" t="s">
        <v>943</v>
      </c>
      <c r="P268" s="9" t="s">
        <v>28</v>
      </c>
      <c r="Q268" s="13"/>
      <c r="T268" s="8"/>
    </row>
    <row r="269" spans="1:20" s="9" customFormat="1" ht="27" customHeight="1" x14ac:dyDescent="0.3">
      <c r="A269" s="9">
        <v>340517351</v>
      </c>
      <c r="B269" s="9" t="s">
        <v>80</v>
      </c>
      <c r="C269" s="13">
        <v>46058</v>
      </c>
      <c r="D269" s="13">
        <v>46058</v>
      </c>
      <c r="E269" s="9" t="s">
        <v>21</v>
      </c>
      <c r="F269" s="9" t="s">
        <v>22</v>
      </c>
      <c r="G269" s="9" t="s">
        <v>944</v>
      </c>
      <c r="H269" s="9" t="s">
        <v>941</v>
      </c>
      <c r="I269" s="9" t="s">
        <v>942</v>
      </c>
      <c r="J269" s="9" t="s">
        <v>339</v>
      </c>
      <c r="K269" s="14">
        <v>650</v>
      </c>
      <c r="L269" s="14">
        <v>630.79999999999995</v>
      </c>
      <c r="M269" s="14">
        <v>350</v>
      </c>
      <c r="N269" s="11">
        <f>(Table1[[#This Row],[NTE Approved ]]-Table1[[#This Row],[Cost]])/Table1[[#This Row],[Cost]]</f>
        <v>0.80228571428571416</v>
      </c>
      <c r="O269" s="9" t="s">
        <v>945</v>
      </c>
      <c r="P269" s="9" t="s">
        <v>28</v>
      </c>
      <c r="Q269" s="13"/>
      <c r="T269" s="8"/>
    </row>
    <row r="270" spans="1:20" s="9" customFormat="1" ht="27" customHeight="1" x14ac:dyDescent="0.3">
      <c r="A270" s="9">
        <v>334697376</v>
      </c>
      <c r="B270" s="9" t="s">
        <v>125</v>
      </c>
      <c r="C270" s="13">
        <v>46017</v>
      </c>
      <c r="D270" s="13">
        <v>46020</v>
      </c>
      <c r="E270" s="9" t="s">
        <v>21</v>
      </c>
      <c r="F270" s="9" t="s">
        <v>38</v>
      </c>
      <c r="G270" s="9" t="s">
        <v>837</v>
      </c>
      <c r="H270" s="9" t="s">
        <v>946</v>
      </c>
      <c r="I270" s="9" t="s">
        <v>947</v>
      </c>
      <c r="J270" s="9" t="s">
        <v>49</v>
      </c>
      <c r="K270" s="14">
        <v>450</v>
      </c>
      <c r="L270" s="14">
        <v>150</v>
      </c>
      <c r="M270" s="14">
        <v>125</v>
      </c>
      <c r="N270" s="11">
        <f>(Table1[[#This Row],[NTE Approved ]]-Table1[[#This Row],[Cost]])/Table1[[#This Row],[Cost]]</f>
        <v>0.2</v>
      </c>
      <c r="O270" s="9" t="s">
        <v>948</v>
      </c>
      <c r="P270" s="9" t="s">
        <v>51</v>
      </c>
      <c r="Q270" s="13">
        <v>46028</v>
      </c>
      <c r="T270" s="8"/>
    </row>
    <row r="271" spans="1:20" s="9" customFormat="1" ht="27" customHeight="1" x14ac:dyDescent="0.3">
      <c r="A271" s="9">
        <v>338238272</v>
      </c>
      <c r="B271" s="9" t="s">
        <v>91</v>
      </c>
      <c r="C271" s="13">
        <v>46038</v>
      </c>
      <c r="D271" s="13">
        <v>46043</v>
      </c>
      <c r="E271" s="9" t="s">
        <v>21</v>
      </c>
      <c r="F271" s="9" t="s">
        <v>22</v>
      </c>
      <c r="G271" s="9" t="s">
        <v>949</v>
      </c>
      <c r="H271" s="9" t="s">
        <v>950</v>
      </c>
      <c r="I271" s="9" t="s">
        <v>951</v>
      </c>
      <c r="J271" s="9" t="s">
        <v>400</v>
      </c>
      <c r="K271" s="14">
        <v>450</v>
      </c>
      <c r="L271" s="14">
        <v>857.9</v>
      </c>
      <c r="M271" s="14">
        <v>475</v>
      </c>
      <c r="N271" s="11">
        <f>(Table1[[#This Row],[NTE Approved ]]-Table1[[#This Row],[Cost]])/Table1[[#This Row],[Cost]]</f>
        <v>0.80610526315789466</v>
      </c>
      <c r="O271" s="9" t="s">
        <v>952</v>
      </c>
      <c r="P271" s="9" t="s">
        <v>28</v>
      </c>
      <c r="Q271" s="13">
        <v>46048</v>
      </c>
      <c r="T271" s="8"/>
    </row>
    <row r="272" spans="1:20" s="9" customFormat="1" ht="27" customHeight="1" x14ac:dyDescent="0.3">
      <c r="A272" s="16">
        <v>339282999</v>
      </c>
      <c r="B272" s="9" t="s">
        <v>80</v>
      </c>
      <c r="C272" s="13">
        <v>46056</v>
      </c>
      <c r="D272" s="13">
        <v>46058</v>
      </c>
      <c r="E272" s="9" t="s">
        <v>21</v>
      </c>
      <c r="F272" s="9" t="s">
        <v>59</v>
      </c>
      <c r="G272" s="9" t="s">
        <v>953</v>
      </c>
      <c r="H272" s="9" t="s">
        <v>954</v>
      </c>
      <c r="I272" s="9" t="s">
        <v>955</v>
      </c>
      <c r="J272" s="9" t="s">
        <v>104</v>
      </c>
      <c r="K272" s="14">
        <v>200</v>
      </c>
      <c r="L272" s="14">
        <v>600</v>
      </c>
      <c r="M272" s="14">
        <v>300</v>
      </c>
      <c r="N272" s="11">
        <f>(Table1[[#This Row],[NTE Approved ]]-Table1[[#This Row],[Cost]])/Table1[[#This Row],[Cost]]</f>
        <v>1</v>
      </c>
      <c r="O272" s="9" t="s">
        <v>956</v>
      </c>
      <c r="P272" s="9" t="s">
        <v>28</v>
      </c>
      <c r="Q272" s="13"/>
      <c r="T272" s="8"/>
    </row>
    <row r="273" spans="1:20" s="9" customFormat="1" ht="27" customHeight="1" x14ac:dyDescent="0.3">
      <c r="A273" s="9">
        <v>338668852</v>
      </c>
      <c r="B273" s="9" t="s">
        <v>29</v>
      </c>
      <c r="C273" s="13">
        <v>46044</v>
      </c>
      <c r="D273" s="13">
        <v>46050</v>
      </c>
      <c r="E273" s="9" t="s">
        <v>21</v>
      </c>
      <c r="F273" s="9" t="s">
        <v>38</v>
      </c>
      <c r="G273" s="9" t="s">
        <v>433</v>
      </c>
      <c r="H273" s="9" t="s">
        <v>957</v>
      </c>
      <c r="I273" s="9" t="s">
        <v>176</v>
      </c>
      <c r="J273" s="9" t="s">
        <v>49</v>
      </c>
      <c r="K273" s="14">
        <v>250</v>
      </c>
      <c r="L273" s="14">
        <v>936.9</v>
      </c>
      <c r="M273" s="14">
        <v>410.49</v>
      </c>
      <c r="N273" s="11">
        <f>(Table1[[#This Row],[NTE Approved ]]-Table1[[#This Row],[Cost]])/Table1[[#This Row],[Cost]]</f>
        <v>1.2823942117956588</v>
      </c>
      <c r="O273" s="9" t="s">
        <v>958</v>
      </c>
      <c r="P273" s="9" t="s">
        <v>28</v>
      </c>
      <c r="Q273" s="13">
        <v>46049</v>
      </c>
      <c r="T273" s="8"/>
    </row>
    <row r="274" spans="1:20" s="9" customFormat="1" ht="27" customHeight="1" x14ac:dyDescent="0.3">
      <c r="A274" s="9">
        <v>338897986</v>
      </c>
      <c r="B274" s="9" t="s">
        <v>163</v>
      </c>
      <c r="C274" s="13">
        <v>46045</v>
      </c>
      <c r="D274" s="13">
        <v>46080</v>
      </c>
      <c r="E274" s="9" t="s">
        <v>21</v>
      </c>
      <c r="F274" s="9" t="s">
        <v>59</v>
      </c>
      <c r="G274" s="9" t="s">
        <v>60</v>
      </c>
      <c r="H274" s="9" t="s">
        <v>935</v>
      </c>
      <c r="I274" s="9" t="s">
        <v>936</v>
      </c>
      <c r="J274" s="9" t="s">
        <v>49</v>
      </c>
      <c r="K274" s="14">
        <v>550</v>
      </c>
      <c r="L274" s="14">
        <v>1214.4000000000001</v>
      </c>
      <c r="M274" s="14">
        <v>600</v>
      </c>
      <c r="N274" s="11">
        <f>(Table1[[#This Row],[NTE Approved ]]-Table1[[#This Row],[Cost]])/Table1[[#This Row],[Cost]]</f>
        <v>1.0240000000000002</v>
      </c>
      <c r="O274" s="9" t="s">
        <v>959</v>
      </c>
      <c r="P274" s="9" t="s">
        <v>28</v>
      </c>
      <c r="Q274" s="13">
        <v>46050</v>
      </c>
      <c r="T274" s="8"/>
    </row>
    <row r="275" spans="1:20" s="9" customFormat="1" ht="27" customHeight="1" x14ac:dyDescent="0.3">
      <c r="A275" s="9">
        <v>338676318</v>
      </c>
      <c r="B275" s="9" t="s">
        <v>125</v>
      </c>
      <c r="C275" s="13">
        <v>46055</v>
      </c>
      <c r="D275" s="13">
        <v>46062</v>
      </c>
      <c r="E275" s="9" t="s">
        <v>21</v>
      </c>
      <c r="F275" s="9" t="s">
        <v>22</v>
      </c>
      <c r="G275" s="9" t="s">
        <v>960</v>
      </c>
      <c r="H275" s="9" t="s">
        <v>961</v>
      </c>
      <c r="I275" s="9" t="s">
        <v>962</v>
      </c>
      <c r="J275" s="9" t="s">
        <v>104</v>
      </c>
      <c r="K275" s="27">
        <v>550</v>
      </c>
      <c r="L275" s="14">
        <v>244.69</v>
      </c>
      <c r="M275" s="14">
        <v>125</v>
      </c>
      <c r="N275" s="11">
        <f>(Table1[[#This Row],[NTE Approved ]]-Table1[[#This Row],[Cost]])/Table1[[#This Row],[Cost]]</f>
        <v>0.95751999999999993</v>
      </c>
      <c r="O275" s="9" t="s">
        <v>963</v>
      </c>
      <c r="P275" s="9" t="s">
        <v>28</v>
      </c>
      <c r="Q275" s="13"/>
      <c r="T275" s="8"/>
    </row>
    <row r="276" spans="1:20" s="9" customFormat="1" ht="27" customHeight="1" x14ac:dyDescent="0.3">
      <c r="A276" s="9">
        <v>337974896</v>
      </c>
      <c r="B276" s="9" t="s">
        <v>91</v>
      </c>
      <c r="C276" s="13">
        <v>46036</v>
      </c>
      <c r="D276" s="13">
        <v>46038</v>
      </c>
      <c r="E276" s="9" t="s">
        <v>21</v>
      </c>
      <c r="F276" s="9" t="s">
        <v>45</v>
      </c>
      <c r="G276" s="9" t="s">
        <v>964</v>
      </c>
      <c r="H276" s="9" t="s">
        <v>965</v>
      </c>
      <c r="I276" s="9" t="s">
        <v>966</v>
      </c>
      <c r="J276" s="9" t="s">
        <v>195</v>
      </c>
      <c r="K276" s="14">
        <v>550</v>
      </c>
      <c r="L276" s="14">
        <v>788.27</v>
      </c>
      <c r="M276" s="14">
        <v>450</v>
      </c>
      <c r="N276" s="11">
        <f>(Table1[[#This Row],[NTE Approved ]]-Table1[[#This Row],[Cost]])/Table1[[#This Row],[Cost]]</f>
        <v>0.75171111111111111</v>
      </c>
      <c r="O276" s="9" t="s">
        <v>967</v>
      </c>
      <c r="P276" s="9" t="s">
        <v>28</v>
      </c>
      <c r="Q276" s="13"/>
      <c r="T276" s="8"/>
    </row>
    <row r="277" spans="1:20" s="9" customFormat="1" ht="27" customHeight="1" x14ac:dyDescent="0.3">
      <c r="A277" s="9">
        <v>338114337</v>
      </c>
      <c r="B277" s="9" t="s">
        <v>125</v>
      </c>
      <c r="C277" s="13">
        <v>46038</v>
      </c>
      <c r="D277" s="13">
        <v>46040</v>
      </c>
      <c r="E277" s="9" t="s">
        <v>21</v>
      </c>
      <c r="F277" s="9" t="s">
        <v>59</v>
      </c>
      <c r="G277" s="9" t="s">
        <v>138</v>
      </c>
      <c r="H277" s="9" t="s">
        <v>968</v>
      </c>
      <c r="I277" s="9" t="s">
        <v>969</v>
      </c>
      <c r="J277" s="9" t="s">
        <v>199</v>
      </c>
      <c r="K277" s="14">
        <v>350</v>
      </c>
      <c r="L277" s="14">
        <v>748.36</v>
      </c>
      <c r="M277" s="14">
        <v>570.04</v>
      </c>
      <c r="N277" s="11">
        <f>(Table1[[#This Row],[NTE Approved ]]-Table1[[#This Row],[Cost]])/Table1[[#This Row],[Cost]]</f>
        <v>0.31282015297172139</v>
      </c>
      <c r="O277" s="9" t="s">
        <v>970</v>
      </c>
      <c r="P277" s="9" t="s">
        <v>28</v>
      </c>
      <c r="Q277" s="13">
        <v>46050</v>
      </c>
      <c r="T277" s="8"/>
    </row>
    <row r="278" spans="1:20" s="9" customFormat="1" ht="27" customHeight="1" x14ac:dyDescent="0.3">
      <c r="A278" s="9">
        <v>339400508</v>
      </c>
      <c r="B278" s="9" t="s">
        <v>125</v>
      </c>
      <c r="C278" s="13">
        <v>46050</v>
      </c>
      <c r="D278" s="13">
        <v>46059</v>
      </c>
      <c r="E278" s="9" t="s">
        <v>21</v>
      </c>
      <c r="F278" s="9" t="s">
        <v>317</v>
      </c>
      <c r="G278" s="9" t="s">
        <v>318</v>
      </c>
      <c r="H278" s="9" t="s">
        <v>971</v>
      </c>
      <c r="I278" s="9" t="s">
        <v>972</v>
      </c>
      <c r="J278" s="9" t="s">
        <v>216</v>
      </c>
      <c r="K278" s="14">
        <v>500</v>
      </c>
      <c r="L278" s="14">
        <v>493.02</v>
      </c>
      <c r="M278" s="28">
        <v>279</v>
      </c>
      <c r="N278" s="11">
        <f>(Table1[[#This Row],[NTE Approved ]]-Table1[[#This Row],[Cost]])/Table1[[#This Row],[Cost]]</f>
        <v>0.76709677419354827</v>
      </c>
      <c r="O278" s="9" t="s">
        <v>973</v>
      </c>
      <c r="P278" s="9" t="s">
        <v>28</v>
      </c>
      <c r="Q278" s="13"/>
      <c r="T278" s="8"/>
    </row>
    <row r="279" spans="1:20" s="9" customFormat="1" ht="27" customHeight="1" x14ac:dyDescent="0.3">
      <c r="A279" s="9">
        <v>340649975</v>
      </c>
      <c r="B279" s="9" t="s">
        <v>20</v>
      </c>
      <c r="C279" s="13">
        <v>46059</v>
      </c>
      <c r="D279" s="13">
        <v>46059</v>
      </c>
      <c r="E279" s="9" t="s">
        <v>21</v>
      </c>
      <c r="F279" s="9" t="s">
        <v>59</v>
      </c>
      <c r="G279" s="9" t="s">
        <v>974</v>
      </c>
      <c r="H279" s="9" t="s">
        <v>975</v>
      </c>
      <c r="I279" s="9" t="s">
        <v>936</v>
      </c>
      <c r="J279" s="9" t="s">
        <v>49</v>
      </c>
      <c r="K279" s="14">
        <v>850</v>
      </c>
      <c r="L279" s="14">
        <v>1747.08</v>
      </c>
      <c r="M279" s="14">
        <v>850</v>
      </c>
      <c r="N279" s="11">
        <f>(Table1[[#This Row],[NTE Approved ]]-Table1[[#This Row],[Cost]])/Table1[[#This Row],[Cost]]</f>
        <v>1.0553882352941175</v>
      </c>
      <c r="O279" s="9" t="s">
        <v>976</v>
      </c>
      <c r="P279" s="9" t="s">
        <v>28</v>
      </c>
      <c r="Q279" s="13"/>
      <c r="T279" s="8"/>
    </row>
    <row r="280" spans="1:20" s="9" customFormat="1" ht="27" customHeight="1" x14ac:dyDescent="0.3">
      <c r="A280" s="9">
        <v>339426692</v>
      </c>
      <c r="B280" s="9" t="s">
        <v>20</v>
      </c>
      <c r="C280" s="13">
        <v>46050</v>
      </c>
      <c r="D280" s="13">
        <v>46062</v>
      </c>
      <c r="E280" s="9" t="s">
        <v>21</v>
      </c>
      <c r="F280" s="9" t="s">
        <v>22</v>
      </c>
      <c r="G280" s="9" t="s">
        <v>92</v>
      </c>
      <c r="H280" s="9" t="s">
        <v>977</v>
      </c>
      <c r="I280" s="9" t="s">
        <v>978</v>
      </c>
      <c r="J280" s="9" t="s">
        <v>100</v>
      </c>
      <c r="K280" s="14">
        <v>600</v>
      </c>
      <c r="L280" s="14">
        <v>396.07</v>
      </c>
      <c r="M280" s="14">
        <v>200</v>
      </c>
      <c r="N280" s="11">
        <f>(Table1[[#This Row],[NTE Approved ]]-Table1[[#This Row],[Cost]])/Table1[[#This Row],[Cost]]</f>
        <v>0.98034999999999994</v>
      </c>
      <c r="O280" s="9" t="s">
        <v>979</v>
      </c>
      <c r="P280" s="9" t="s">
        <v>28</v>
      </c>
      <c r="Q280" s="13"/>
      <c r="T280" s="8"/>
    </row>
    <row r="281" spans="1:20" s="9" customFormat="1" ht="27" customHeight="1" x14ac:dyDescent="0.3">
      <c r="A281" s="9">
        <v>336540766</v>
      </c>
      <c r="B281" s="9" t="s">
        <v>163</v>
      </c>
      <c r="C281" s="13">
        <v>46024</v>
      </c>
      <c r="D281" s="13">
        <v>46024</v>
      </c>
      <c r="E281" s="9" t="s">
        <v>21</v>
      </c>
      <c r="F281" s="9" t="s">
        <v>22</v>
      </c>
      <c r="G281" s="9" t="s">
        <v>92</v>
      </c>
      <c r="H281" s="9" t="s">
        <v>980</v>
      </c>
      <c r="I281" s="9" t="s">
        <v>981</v>
      </c>
      <c r="J281" s="9" t="s">
        <v>216</v>
      </c>
      <c r="K281" s="14">
        <v>750</v>
      </c>
      <c r="L281" s="14">
        <v>2062.9899999999998</v>
      </c>
      <c r="M281" s="14">
        <v>1221.56</v>
      </c>
      <c r="N281" s="11">
        <f>(Table1[[#This Row],[NTE Approved ]]-Table1[[#This Row],[Cost]])/Table1[[#This Row],[Cost]]</f>
        <v>0.68881594027309334</v>
      </c>
      <c r="O281" s="9" t="s">
        <v>982</v>
      </c>
      <c r="P281" s="9" t="s">
        <v>28</v>
      </c>
      <c r="Q281" s="13">
        <v>46055</v>
      </c>
      <c r="R281" s="9" t="s">
        <v>68</v>
      </c>
      <c r="T281" s="8"/>
    </row>
    <row r="282" spans="1:20" s="9" customFormat="1" ht="27" customHeight="1" x14ac:dyDescent="0.3">
      <c r="A282" s="9">
        <v>334682501</v>
      </c>
      <c r="B282" s="9" t="s">
        <v>91</v>
      </c>
      <c r="C282" s="13">
        <v>46003</v>
      </c>
      <c r="D282" s="13">
        <v>46006</v>
      </c>
      <c r="E282" s="9" t="s">
        <v>21</v>
      </c>
      <c r="F282" s="9" t="s">
        <v>30</v>
      </c>
      <c r="G282" s="9" t="s">
        <v>126</v>
      </c>
      <c r="H282" s="9" t="s">
        <v>983</v>
      </c>
      <c r="I282" s="9" t="s">
        <v>621</v>
      </c>
      <c r="J282" s="9" t="s">
        <v>56</v>
      </c>
      <c r="K282" s="14">
        <v>500</v>
      </c>
      <c r="L282" s="14">
        <v>2785.95</v>
      </c>
      <c r="M282" s="14">
        <v>1525</v>
      </c>
      <c r="N282" s="11">
        <f>(Table1[[#This Row],[NTE Approved ]]-Table1[[#This Row],[Cost]])/Table1[[#This Row],[Cost]]</f>
        <v>0.82685245901639337</v>
      </c>
      <c r="O282" s="9" t="s">
        <v>984</v>
      </c>
      <c r="P282" s="9" t="s">
        <v>28</v>
      </c>
      <c r="Q282" s="13">
        <v>46036</v>
      </c>
      <c r="R282" s="9" t="s">
        <v>68</v>
      </c>
      <c r="T282" s="8"/>
    </row>
    <row r="283" spans="1:20" s="9" customFormat="1" ht="27" customHeight="1" x14ac:dyDescent="0.3">
      <c r="A283" s="9">
        <v>340744602</v>
      </c>
      <c r="B283" s="9" t="s">
        <v>163</v>
      </c>
      <c r="C283" s="13">
        <v>46062</v>
      </c>
      <c r="D283" s="13">
        <v>46062</v>
      </c>
      <c r="E283" s="9" t="s">
        <v>21</v>
      </c>
      <c r="F283" s="9" t="s">
        <v>59</v>
      </c>
      <c r="G283" s="9" t="s">
        <v>985</v>
      </c>
      <c r="H283" s="9" t="s">
        <v>986</v>
      </c>
      <c r="I283" s="9" t="s">
        <v>987</v>
      </c>
      <c r="J283" s="9" t="s">
        <v>49</v>
      </c>
      <c r="K283" s="14">
        <v>450</v>
      </c>
      <c r="L283" s="14">
        <v>931.06</v>
      </c>
      <c r="M283" s="14">
        <v>500</v>
      </c>
      <c r="N283" s="11">
        <f>(Table1[[#This Row],[NTE Approved ]]-Table1[[#This Row],[Cost]])/Table1[[#This Row],[Cost]]</f>
        <v>0.86211999999999989</v>
      </c>
      <c r="O283" s="9" t="s">
        <v>988</v>
      </c>
      <c r="P283" s="9" t="s">
        <v>28</v>
      </c>
      <c r="Q283" s="13"/>
      <c r="T283" s="8"/>
    </row>
    <row r="284" spans="1:20" s="9" customFormat="1" ht="27" customHeight="1" x14ac:dyDescent="0.3">
      <c r="A284" s="9">
        <v>340674126</v>
      </c>
      <c r="B284" s="9" t="s">
        <v>20</v>
      </c>
      <c r="C284" s="13">
        <v>46059</v>
      </c>
      <c r="D284" s="13">
        <v>46063</v>
      </c>
      <c r="E284" s="9" t="s">
        <v>21</v>
      </c>
      <c r="F284" s="9" t="s">
        <v>38</v>
      </c>
      <c r="G284" s="9" t="s">
        <v>989</v>
      </c>
      <c r="H284" s="9" t="s">
        <v>990</v>
      </c>
      <c r="I284" s="9" t="s">
        <v>991</v>
      </c>
      <c r="J284" s="9" t="s">
        <v>26</v>
      </c>
      <c r="K284" s="14">
        <v>250</v>
      </c>
      <c r="L284" s="14">
        <v>336.11</v>
      </c>
      <c r="M284" s="14">
        <v>192</v>
      </c>
      <c r="N284" s="11">
        <f>(Table1[[#This Row],[NTE Approved ]]-Table1[[#This Row],[Cost]])/Table1[[#This Row],[Cost]]</f>
        <v>0.7505729166666667</v>
      </c>
      <c r="O284" s="9" t="s">
        <v>992</v>
      </c>
      <c r="P284" s="9" t="s">
        <v>28</v>
      </c>
      <c r="Q284" s="13"/>
      <c r="T284" s="8"/>
    </row>
    <row r="285" spans="1:20" s="9" customFormat="1" ht="27" customHeight="1" x14ac:dyDescent="0.3">
      <c r="A285" s="9">
        <v>340892460</v>
      </c>
      <c r="B285" s="9" t="s">
        <v>163</v>
      </c>
      <c r="C285" s="13">
        <v>46062</v>
      </c>
      <c r="D285" s="13">
        <v>46063</v>
      </c>
      <c r="E285" s="9" t="s">
        <v>21</v>
      </c>
      <c r="F285" s="9" t="s">
        <v>22</v>
      </c>
      <c r="G285" s="9" t="s">
        <v>92</v>
      </c>
      <c r="H285" s="9" t="s">
        <v>993</v>
      </c>
      <c r="I285" s="9" t="s">
        <v>994</v>
      </c>
      <c r="J285" s="9" t="s">
        <v>235</v>
      </c>
      <c r="K285" s="14">
        <v>750</v>
      </c>
      <c r="L285" s="26">
        <v>696.6</v>
      </c>
      <c r="M285" s="14">
        <v>375</v>
      </c>
      <c r="N285" s="11">
        <f>(Table1[[#This Row],[NTE Approved ]]-Table1[[#This Row],[Cost]])/Table1[[#This Row],[Cost]]</f>
        <v>0.85760000000000003</v>
      </c>
      <c r="O285" s="9" t="s">
        <v>995</v>
      </c>
      <c r="P285" s="9" t="s">
        <v>28</v>
      </c>
      <c r="Q285" s="13"/>
      <c r="T285" s="8"/>
    </row>
    <row r="286" spans="1:20" s="9" customFormat="1" ht="27" customHeight="1" x14ac:dyDescent="0.3">
      <c r="A286" s="9">
        <v>338454677</v>
      </c>
      <c r="B286" s="9" t="s">
        <v>91</v>
      </c>
      <c r="C286" s="13">
        <v>46041</v>
      </c>
      <c r="D286" s="13">
        <v>46042</v>
      </c>
      <c r="E286" s="9" t="s">
        <v>21</v>
      </c>
      <c r="F286" s="9" t="s">
        <v>22</v>
      </c>
      <c r="G286" s="9" t="s">
        <v>996</v>
      </c>
      <c r="H286" s="9" t="s">
        <v>997</v>
      </c>
      <c r="I286" s="9" t="s">
        <v>998</v>
      </c>
      <c r="J286" s="9" t="s">
        <v>195</v>
      </c>
      <c r="K286" s="14">
        <v>1000</v>
      </c>
      <c r="L286" s="14">
        <v>2284.29</v>
      </c>
      <c r="M286" s="14">
        <v>1200</v>
      </c>
      <c r="N286" s="11">
        <f>(Table1[[#This Row],[NTE Approved ]]-Table1[[#This Row],[Cost]])/Table1[[#This Row],[Cost]]</f>
        <v>0.90357500000000002</v>
      </c>
      <c r="O286" s="9" t="s">
        <v>999</v>
      </c>
      <c r="P286" s="9" t="s">
        <v>28</v>
      </c>
      <c r="Q286" s="13">
        <v>46043</v>
      </c>
      <c r="T286" s="8"/>
    </row>
    <row r="287" spans="1:20" s="9" customFormat="1" ht="27" customHeight="1" x14ac:dyDescent="0.3">
      <c r="A287" s="9">
        <v>340220138</v>
      </c>
      <c r="B287" s="9" t="s">
        <v>20</v>
      </c>
      <c r="C287" s="13">
        <v>46055</v>
      </c>
      <c r="D287" s="13">
        <v>46062</v>
      </c>
      <c r="E287" s="9" t="s">
        <v>21</v>
      </c>
      <c r="F287" s="9" t="s">
        <v>22</v>
      </c>
      <c r="G287" s="9" t="s">
        <v>224</v>
      </c>
      <c r="H287" s="9" t="s">
        <v>1000</v>
      </c>
      <c r="I287" s="9" t="s">
        <v>1001</v>
      </c>
      <c r="J287" s="9" t="s">
        <v>42</v>
      </c>
      <c r="K287" s="14">
        <v>1500</v>
      </c>
      <c r="L287" s="14">
        <v>2209.4699999999998</v>
      </c>
      <c r="M287" s="14">
        <v>1257.47</v>
      </c>
      <c r="N287" s="11">
        <f>(Table1[[#This Row],[NTE Approved ]]-Table1[[#This Row],[Cost]])/Table1[[#This Row],[Cost]]</f>
        <v>0.75707571552402819</v>
      </c>
      <c r="O287" s="9" t="s">
        <v>902</v>
      </c>
      <c r="P287" s="9" t="s">
        <v>28</v>
      </c>
      <c r="Q287" s="13"/>
      <c r="T287" s="8"/>
    </row>
    <row r="288" spans="1:20" s="9" customFormat="1" ht="27" customHeight="1" x14ac:dyDescent="0.3">
      <c r="A288" s="9">
        <v>337753963</v>
      </c>
      <c r="B288" s="9" t="s">
        <v>20</v>
      </c>
      <c r="C288" s="13">
        <v>46034</v>
      </c>
      <c r="D288" s="13">
        <v>46047</v>
      </c>
      <c r="E288" s="9" t="s">
        <v>21</v>
      </c>
      <c r="F288" s="9" t="s">
        <v>38</v>
      </c>
      <c r="G288" s="9" t="s">
        <v>109</v>
      </c>
      <c r="H288" s="9" t="s">
        <v>1002</v>
      </c>
      <c r="I288" s="9" t="s">
        <v>1003</v>
      </c>
      <c r="J288" s="9" t="s">
        <v>56</v>
      </c>
      <c r="K288" s="14">
        <v>750</v>
      </c>
      <c r="L288" s="14">
        <v>2102.23</v>
      </c>
      <c r="M288" s="14">
        <v>1200</v>
      </c>
      <c r="N288" s="11">
        <f>(Table1[[#This Row],[NTE Approved ]]-Table1[[#This Row],[Cost]])/Table1[[#This Row],[Cost]]</f>
        <v>0.7518583333333333</v>
      </c>
      <c r="O288" s="9" t="s">
        <v>1004</v>
      </c>
      <c r="P288" s="9" t="s">
        <v>28</v>
      </c>
      <c r="Q288" s="13">
        <v>46042</v>
      </c>
      <c r="T288" s="8"/>
    </row>
    <row r="289" spans="1:20" s="9" customFormat="1" ht="27" customHeight="1" x14ac:dyDescent="0.3">
      <c r="A289" s="9">
        <v>340955147</v>
      </c>
      <c r="B289" s="9" t="s">
        <v>29</v>
      </c>
      <c r="C289" s="13">
        <v>46063</v>
      </c>
      <c r="D289" s="13">
        <v>46063</v>
      </c>
      <c r="E289" s="9" t="s">
        <v>21</v>
      </c>
      <c r="F289" s="9" t="s">
        <v>30</v>
      </c>
      <c r="G289" s="9" t="s">
        <v>126</v>
      </c>
      <c r="H289" s="9" t="s">
        <v>1005</v>
      </c>
      <c r="I289" s="9" t="s">
        <v>1006</v>
      </c>
      <c r="J289" s="9" t="s">
        <v>34</v>
      </c>
      <c r="K289" s="14">
        <v>750</v>
      </c>
      <c r="L289" s="14">
        <v>693.15</v>
      </c>
      <c r="M289" s="14">
        <v>361</v>
      </c>
      <c r="N289" s="11">
        <f>(Table1[[#This Row],[NTE Approved ]]-Table1[[#This Row],[Cost]])/Table1[[#This Row],[Cost]]</f>
        <v>0.92008310249307468</v>
      </c>
      <c r="O289" s="9" t="s">
        <v>1007</v>
      </c>
      <c r="P289" s="9" t="s">
        <v>28</v>
      </c>
      <c r="Q289" s="13"/>
      <c r="T289" s="8"/>
    </row>
    <row r="290" spans="1:20" s="9" customFormat="1" ht="27" customHeight="1" x14ac:dyDescent="0.3">
      <c r="A290" s="9">
        <v>340279539</v>
      </c>
      <c r="B290" s="9" t="s">
        <v>91</v>
      </c>
      <c r="C290" s="13">
        <v>46063</v>
      </c>
      <c r="D290" s="13">
        <v>46063</v>
      </c>
      <c r="E290" s="9" t="s">
        <v>21</v>
      </c>
      <c r="F290" s="9" t="s">
        <v>59</v>
      </c>
      <c r="G290" s="9" t="s">
        <v>269</v>
      </c>
      <c r="H290" s="9" t="s">
        <v>574</v>
      </c>
      <c r="I290" s="9" t="s">
        <v>1008</v>
      </c>
      <c r="J290" s="9" t="s">
        <v>216</v>
      </c>
      <c r="K290" s="14">
        <v>650</v>
      </c>
      <c r="L290" s="14">
        <v>988.68</v>
      </c>
      <c r="M290" s="14">
        <v>450</v>
      </c>
      <c r="N290" s="11">
        <f>(Table1[[#This Row],[NTE Approved ]]-Table1[[#This Row],[Cost]])/Table1[[#This Row],[Cost]]</f>
        <v>1.1970666666666665</v>
      </c>
      <c r="O290" s="9" t="s">
        <v>1009</v>
      </c>
      <c r="P290" s="9" t="s">
        <v>28</v>
      </c>
      <c r="Q290" s="13"/>
      <c r="T290" s="8"/>
    </row>
    <row r="291" spans="1:20" s="9" customFormat="1" ht="27" customHeight="1" x14ac:dyDescent="0.3">
      <c r="A291" s="9">
        <v>340510912</v>
      </c>
      <c r="B291" s="9" t="s">
        <v>163</v>
      </c>
      <c r="C291" s="13">
        <v>46058</v>
      </c>
      <c r="D291" s="13">
        <v>46058</v>
      </c>
      <c r="E291" s="9" t="s">
        <v>21</v>
      </c>
      <c r="F291" s="9" t="s">
        <v>45</v>
      </c>
      <c r="G291" s="9" t="s">
        <v>46</v>
      </c>
      <c r="H291" s="9" t="s">
        <v>1010</v>
      </c>
      <c r="I291" s="9" t="s">
        <v>1011</v>
      </c>
      <c r="J291" s="9" t="s">
        <v>235</v>
      </c>
      <c r="K291" s="14">
        <v>750</v>
      </c>
      <c r="L291" s="14">
        <v>922.73</v>
      </c>
      <c r="M291" s="14">
        <v>500</v>
      </c>
      <c r="N291" s="11">
        <f>(Table1[[#This Row],[NTE Approved ]]-Table1[[#This Row],[Cost]])/Table1[[#This Row],[Cost]]</f>
        <v>0.84545999999999999</v>
      </c>
      <c r="O291" s="9" t="s">
        <v>1012</v>
      </c>
      <c r="P291" s="9" t="s">
        <v>28</v>
      </c>
      <c r="Q291" s="13"/>
      <c r="T291" s="8"/>
    </row>
    <row r="292" spans="1:20" s="9" customFormat="1" ht="27" customHeight="1" x14ac:dyDescent="0.3">
      <c r="A292" s="9">
        <v>340654472</v>
      </c>
      <c r="B292" s="9" t="s">
        <v>29</v>
      </c>
      <c r="C292" s="13">
        <v>46059</v>
      </c>
      <c r="D292" s="13">
        <v>46063</v>
      </c>
      <c r="E292" s="9" t="s">
        <v>21</v>
      </c>
      <c r="F292" s="9" t="s">
        <v>759</v>
      </c>
      <c r="G292" s="9" t="s">
        <v>1013</v>
      </c>
      <c r="H292" s="9" t="s">
        <v>1014</v>
      </c>
      <c r="I292" s="9" t="s">
        <v>1015</v>
      </c>
      <c r="J292" s="9" t="s">
        <v>206</v>
      </c>
      <c r="K292" s="14">
        <v>500</v>
      </c>
      <c r="L292" s="14">
        <v>496.21</v>
      </c>
      <c r="M292" s="14">
        <v>280</v>
      </c>
      <c r="N292" s="11">
        <f>(Table1[[#This Row],[NTE Approved ]]-Table1[[#This Row],[Cost]])/Table1[[#This Row],[Cost]]</f>
        <v>0.77217857142857138</v>
      </c>
      <c r="O292" s="9" t="s">
        <v>1016</v>
      </c>
      <c r="P292" s="9" t="s">
        <v>28</v>
      </c>
      <c r="Q292" s="13"/>
      <c r="T292" s="8"/>
    </row>
    <row r="293" spans="1:20" s="9" customFormat="1" ht="27" customHeight="1" x14ac:dyDescent="0.3">
      <c r="A293" s="9">
        <v>337533871</v>
      </c>
      <c r="B293" s="9" t="s">
        <v>163</v>
      </c>
      <c r="C293" s="13">
        <v>46055</v>
      </c>
      <c r="D293" s="13">
        <v>46057</v>
      </c>
      <c r="E293" s="9" t="s">
        <v>21</v>
      </c>
      <c r="F293" s="9" t="s">
        <v>22</v>
      </c>
      <c r="G293" s="9" t="s">
        <v>466</v>
      </c>
      <c r="H293" s="9" t="s">
        <v>1017</v>
      </c>
      <c r="I293" s="9" t="s">
        <v>1018</v>
      </c>
      <c r="J293" s="9" t="s">
        <v>42</v>
      </c>
      <c r="K293" s="14">
        <v>250</v>
      </c>
      <c r="L293" s="14">
        <v>241.31</v>
      </c>
      <c r="M293" s="14">
        <v>110</v>
      </c>
      <c r="N293" s="11">
        <f>(Table1[[#This Row],[NTE Approved ]]-Table1[[#This Row],[Cost]])/Table1[[#This Row],[Cost]]</f>
        <v>1.1937272727272727</v>
      </c>
      <c r="O293" s="9" t="s">
        <v>1019</v>
      </c>
      <c r="P293" s="9" t="s">
        <v>28</v>
      </c>
      <c r="Q293" s="13"/>
      <c r="T293" s="8"/>
    </row>
    <row r="294" spans="1:20" s="9" customFormat="1" ht="27" customHeight="1" x14ac:dyDescent="0.3">
      <c r="A294" s="9">
        <v>340793673</v>
      </c>
      <c r="B294" s="9" t="s">
        <v>80</v>
      </c>
      <c r="C294" s="13">
        <v>46064</v>
      </c>
      <c r="D294" s="13">
        <v>46066</v>
      </c>
      <c r="E294" s="9" t="s">
        <v>21</v>
      </c>
      <c r="F294" s="9" t="s">
        <v>59</v>
      </c>
      <c r="G294" s="9" t="s">
        <v>725</v>
      </c>
      <c r="H294" s="9" t="s">
        <v>1020</v>
      </c>
      <c r="I294" s="9" t="s">
        <v>1021</v>
      </c>
      <c r="J294" s="9" t="s">
        <v>290</v>
      </c>
      <c r="K294" s="14">
        <v>550</v>
      </c>
      <c r="L294" s="14">
        <v>240.75</v>
      </c>
      <c r="M294" s="14">
        <v>133.75</v>
      </c>
      <c r="N294" s="11">
        <f>(Table1[[#This Row],[NTE Approved ]]-Table1[[#This Row],[Cost]])/Table1[[#This Row],[Cost]]</f>
        <v>0.8</v>
      </c>
      <c r="O294" s="9" t="s">
        <v>1022</v>
      </c>
      <c r="P294" s="9" t="s">
        <v>28</v>
      </c>
      <c r="Q294" s="13"/>
      <c r="T294" s="8"/>
    </row>
    <row r="295" spans="1:20" s="9" customFormat="1" ht="27" customHeight="1" x14ac:dyDescent="0.3">
      <c r="A295" s="9">
        <v>341056497</v>
      </c>
      <c r="B295" s="9" t="s">
        <v>73</v>
      </c>
      <c r="C295" s="13">
        <v>46064</v>
      </c>
      <c r="D295" s="13">
        <v>46064</v>
      </c>
      <c r="E295" s="9" t="s">
        <v>21</v>
      </c>
      <c r="F295" s="9" t="s">
        <v>59</v>
      </c>
      <c r="G295" s="9" t="s">
        <v>237</v>
      </c>
      <c r="H295" s="9" t="s">
        <v>1023</v>
      </c>
      <c r="I295" s="9" t="s">
        <v>1024</v>
      </c>
      <c r="J295" s="9" t="s">
        <v>195</v>
      </c>
      <c r="K295" s="14">
        <v>1000</v>
      </c>
      <c r="L295" s="14">
        <v>1380.19</v>
      </c>
      <c r="M295" s="14">
        <v>739.5</v>
      </c>
      <c r="N295" s="11">
        <f>(Table1[[#This Row],[NTE Approved ]]-Table1[[#This Row],[Cost]])/Table1[[#This Row],[Cost]]</f>
        <v>0.86638269100743748</v>
      </c>
      <c r="O295" s="9" t="s">
        <v>1025</v>
      </c>
      <c r="P295" s="9" t="s">
        <v>28</v>
      </c>
      <c r="Q295" s="13"/>
      <c r="T295" s="8"/>
    </row>
    <row r="296" spans="1:20" s="9" customFormat="1" ht="27" customHeight="1" x14ac:dyDescent="0.3">
      <c r="A296" s="9">
        <v>337299549</v>
      </c>
      <c r="B296" s="9" t="s">
        <v>73</v>
      </c>
      <c r="C296" s="13">
        <v>46036</v>
      </c>
      <c r="D296" s="13">
        <v>46047</v>
      </c>
      <c r="E296" s="9" t="s">
        <v>21</v>
      </c>
      <c r="F296" s="9" t="s">
        <v>38</v>
      </c>
      <c r="G296" s="9" t="s">
        <v>1026</v>
      </c>
      <c r="H296" s="9" t="s">
        <v>1027</v>
      </c>
      <c r="I296" s="9" t="s">
        <v>1028</v>
      </c>
      <c r="J296" s="9" t="s">
        <v>63</v>
      </c>
      <c r="K296" s="14">
        <v>1000</v>
      </c>
      <c r="L296" s="14">
        <v>1875.21</v>
      </c>
      <c r="M296" s="14">
        <v>950</v>
      </c>
      <c r="N296" s="11">
        <f>(Table1[[#This Row],[NTE Approved ]]-Table1[[#This Row],[Cost]])/Table1[[#This Row],[Cost]]</f>
        <v>0.97390526315789483</v>
      </c>
      <c r="O296" s="9" t="s">
        <v>1029</v>
      </c>
      <c r="P296" s="9" t="s">
        <v>28</v>
      </c>
      <c r="Q296" s="13">
        <v>46058</v>
      </c>
      <c r="T296" s="8"/>
    </row>
    <row r="297" spans="1:20" s="9" customFormat="1" ht="27" customHeight="1" x14ac:dyDescent="0.3">
      <c r="A297" s="9">
        <v>338135330</v>
      </c>
      <c r="B297" s="9" t="s">
        <v>295</v>
      </c>
      <c r="C297" s="13">
        <v>46037</v>
      </c>
      <c r="D297" s="13">
        <v>46049</v>
      </c>
      <c r="E297" s="9" t="s">
        <v>21</v>
      </c>
      <c r="F297" s="9" t="s">
        <v>38</v>
      </c>
      <c r="G297" s="9" t="s">
        <v>1030</v>
      </c>
      <c r="H297" s="9" t="s">
        <v>1031</v>
      </c>
      <c r="I297" s="9" t="s">
        <v>849</v>
      </c>
      <c r="J297" s="9" t="s">
        <v>206</v>
      </c>
      <c r="K297" s="14">
        <v>500</v>
      </c>
      <c r="L297" s="14">
        <v>1107.45</v>
      </c>
      <c r="M297" s="14">
        <v>450</v>
      </c>
      <c r="N297" s="11">
        <f>(Table1[[#This Row],[NTE Approved ]]-Table1[[#This Row],[Cost]])/Table1[[#This Row],[Cost]]</f>
        <v>1.4610000000000001</v>
      </c>
      <c r="O297" s="9" t="s">
        <v>1032</v>
      </c>
      <c r="P297" s="9" t="s">
        <v>28</v>
      </c>
      <c r="Q297" s="13">
        <v>46057</v>
      </c>
      <c r="T297" s="8"/>
    </row>
    <row r="298" spans="1:20" s="9" customFormat="1" ht="27" customHeight="1" x14ac:dyDescent="0.3">
      <c r="A298" s="9">
        <v>340845518</v>
      </c>
      <c r="B298" s="9" t="s">
        <v>125</v>
      </c>
      <c r="C298" s="13">
        <v>46062</v>
      </c>
      <c r="D298" s="13">
        <v>46071</v>
      </c>
      <c r="E298" s="9" t="s">
        <v>21</v>
      </c>
      <c r="F298" s="9" t="s">
        <v>38</v>
      </c>
      <c r="G298" s="9" t="s">
        <v>433</v>
      </c>
      <c r="H298" s="9" t="s">
        <v>1033</v>
      </c>
      <c r="I298" s="9" t="s">
        <v>1034</v>
      </c>
      <c r="J298" s="9" t="s">
        <v>100</v>
      </c>
      <c r="K298" s="14">
        <v>750</v>
      </c>
      <c r="L298" s="14">
        <v>956.26</v>
      </c>
      <c r="M298" s="14">
        <v>500</v>
      </c>
      <c r="N298" s="11">
        <f>(Table1[[#This Row],[NTE Approved ]]-Table1[[#This Row],[Cost]])/Table1[[#This Row],[Cost]]</f>
        <v>0.91252</v>
      </c>
      <c r="O298" s="9" t="s">
        <v>1035</v>
      </c>
      <c r="P298" s="9" t="s">
        <v>28</v>
      </c>
      <c r="Q298" s="13"/>
      <c r="T298" s="8"/>
    </row>
    <row r="299" spans="1:20" s="9" customFormat="1" ht="27" customHeight="1" x14ac:dyDescent="0.3">
      <c r="A299" s="9">
        <v>341034462</v>
      </c>
      <c r="B299" s="9" t="s">
        <v>91</v>
      </c>
      <c r="C299" s="13">
        <v>46064</v>
      </c>
      <c r="D299" s="13">
        <v>46064</v>
      </c>
      <c r="E299" s="9" t="s">
        <v>21</v>
      </c>
      <c r="F299" s="9" t="s">
        <v>59</v>
      </c>
      <c r="G299" s="9" t="s">
        <v>1036</v>
      </c>
      <c r="H299" s="9" t="s">
        <v>1037</v>
      </c>
      <c r="I299" s="9" t="s">
        <v>1038</v>
      </c>
      <c r="J299" s="9" t="s">
        <v>771</v>
      </c>
      <c r="K299" s="14">
        <v>600</v>
      </c>
      <c r="L299" s="14">
        <v>799.43</v>
      </c>
      <c r="M299" s="14">
        <v>400</v>
      </c>
      <c r="N299" s="11">
        <f>(Table1[[#This Row],[NTE Approved ]]-Table1[[#This Row],[Cost]])/Table1[[#This Row],[Cost]]</f>
        <v>0.99857499999999988</v>
      </c>
      <c r="O299" s="9" t="s">
        <v>1039</v>
      </c>
      <c r="P299" s="9" t="s">
        <v>28</v>
      </c>
      <c r="Q299" s="13"/>
      <c r="T299" s="8"/>
    </row>
    <row r="300" spans="1:20" s="9" customFormat="1" ht="27" customHeight="1" x14ac:dyDescent="0.3">
      <c r="A300" s="9">
        <v>339431578</v>
      </c>
      <c r="B300" s="9" t="s">
        <v>163</v>
      </c>
      <c r="C300" s="13">
        <v>46051</v>
      </c>
      <c r="D300" s="13">
        <v>46052</v>
      </c>
      <c r="E300" s="9" t="s">
        <v>21</v>
      </c>
      <c r="F300" s="9" t="s">
        <v>59</v>
      </c>
      <c r="G300" s="9" t="s">
        <v>237</v>
      </c>
      <c r="H300" s="9" t="s">
        <v>1040</v>
      </c>
      <c r="I300" s="9" t="s">
        <v>1041</v>
      </c>
      <c r="J300" s="9" t="s">
        <v>104</v>
      </c>
      <c r="K300" s="14">
        <v>650</v>
      </c>
      <c r="L300" s="14">
        <v>739.51</v>
      </c>
      <c r="M300" s="14">
        <v>420</v>
      </c>
      <c r="N300" s="11">
        <f>(Table1[[#This Row],[NTE Approved ]]-Table1[[#This Row],[Cost]])/Table1[[#This Row],[Cost]]</f>
        <v>0.76073809523809521</v>
      </c>
      <c r="O300" s="9" t="s">
        <v>1042</v>
      </c>
      <c r="P300" s="9" t="s">
        <v>28</v>
      </c>
      <c r="Q300" s="13"/>
      <c r="T300" s="8"/>
    </row>
    <row r="301" spans="1:20" s="9" customFormat="1" ht="27" customHeight="1" x14ac:dyDescent="0.3">
      <c r="A301" s="9">
        <v>339433733</v>
      </c>
      <c r="B301" s="9" t="s">
        <v>80</v>
      </c>
      <c r="C301" s="13">
        <v>46050</v>
      </c>
      <c r="D301" s="13">
        <v>46051</v>
      </c>
      <c r="E301" s="9" t="s">
        <v>21</v>
      </c>
      <c r="F301" s="9" t="s">
        <v>22</v>
      </c>
      <c r="G301" s="9" t="s">
        <v>92</v>
      </c>
      <c r="H301" s="9" t="s">
        <v>1043</v>
      </c>
      <c r="I301" s="9" t="s">
        <v>1044</v>
      </c>
      <c r="J301" s="9" t="s">
        <v>26</v>
      </c>
      <c r="K301" s="14">
        <v>750</v>
      </c>
      <c r="L301" s="14">
        <v>170</v>
      </c>
      <c r="M301" s="14">
        <v>175</v>
      </c>
      <c r="N301" s="11">
        <f>(Table1[[#This Row],[NTE Approved ]]-Table1[[#This Row],[Cost]])/Table1[[#This Row],[Cost]]</f>
        <v>-2.8571428571428571E-2</v>
      </c>
      <c r="O301" s="9" t="s">
        <v>1045</v>
      </c>
      <c r="P301" s="9" t="s">
        <v>51</v>
      </c>
      <c r="Q301" s="13"/>
      <c r="T301" s="8"/>
    </row>
    <row r="302" spans="1:20" s="9" customFormat="1" ht="27" customHeight="1" x14ac:dyDescent="0.3">
      <c r="A302" s="9">
        <v>340631659</v>
      </c>
      <c r="B302" s="9" t="s">
        <v>80</v>
      </c>
      <c r="C302" s="13">
        <v>46064</v>
      </c>
      <c r="D302" s="13">
        <v>46066</v>
      </c>
      <c r="E302" s="9" t="s">
        <v>21</v>
      </c>
      <c r="F302" s="9" t="s">
        <v>22</v>
      </c>
      <c r="G302" s="9" t="s">
        <v>466</v>
      </c>
      <c r="H302" s="9" t="s">
        <v>1046</v>
      </c>
      <c r="I302" s="9" t="s">
        <v>1047</v>
      </c>
      <c r="J302" s="9" t="s">
        <v>339</v>
      </c>
      <c r="K302" s="14">
        <v>250</v>
      </c>
      <c r="L302" s="14">
        <v>237.375</v>
      </c>
      <c r="M302" s="14">
        <v>125</v>
      </c>
      <c r="N302" s="11">
        <f>(Table1[[#This Row],[NTE Approved ]]-Table1[[#This Row],[Cost]])/Table1[[#This Row],[Cost]]</f>
        <v>0.89900000000000002</v>
      </c>
      <c r="O302" s="9" t="s">
        <v>1048</v>
      </c>
      <c r="P302" s="9" t="s">
        <v>28</v>
      </c>
      <c r="Q302" s="13"/>
      <c r="T302" s="8"/>
    </row>
    <row r="303" spans="1:20" s="9" customFormat="1" ht="27" customHeight="1" x14ac:dyDescent="0.3">
      <c r="A303" s="9">
        <v>341197400</v>
      </c>
      <c r="B303" s="9" t="s">
        <v>73</v>
      </c>
      <c r="C303" s="13">
        <v>46065</v>
      </c>
      <c r="D303" s="13">
        <v>46066</v>
      </c>
      <c r="E303" s="9" t="s">
        <v>21</v>
      </c>
      <c r="F303" s="9" t="s">
        <v>22</v>
      </c>
      <c r="G303" s="9" t="s">
        <v>92</v>
      </c>
      <c r="H303" s="9" t="s">
        <v>1049</v>
      </c>
      <c r="I303" s="9" t="s">
        <v>1050</v>
      </c>
      <c r="J303" s="9" t="s">
        <v>63</v>
      </c>
      <c r="K303" s="14">
        <v>550</v>
      </c>
      <c r="L303" s="14">
        <v>290.83999999999997</v>
      </c>
      <c r="M303" s="14">
        <v>150</v>
      </c>
      <c r="N303" s="11">
        <f>(Table1[[#This Row],[NTE Approved ]]-Table1[[#This Row],[Cost]])/Table1[[#This Row],[Cost]]</f>
        <v>0.93893333333333318</v>
      </c>
      <c r="O303" s="9" t="s">
        <v>1051</v>
      </c>
      <c r="P303" s="9" t="s">
        <v>28</v>
      </c>
      <c r="Q303" s="13"/>
      <c r="T303" s="8"/>
    </row>
    <row r="304" spans="1:20" s="9" customFormat="1" ht="27" customHeight="1" x14ac:dyDescent="0.3">
      <c r="A304" s="9">
        <v>339432821</v>
      </c>
      <c r="B304" s="9" t="s">
        <v>125</v>
      </c>
      <c r="C304" s="13">
        <v>46050</v>
      </c>
      <c r="D304" s="13">
        <v>46051</v>
      </c>
      <c r="E304" s="9" t="s">
        <v>21</v>
      </c>
      <c r="F304" s="9" t="s">
        <v>59</v>
      </c>
      <c r="G304" s="9" t="s">
        <v>60</v>
      </c>
      <c r="H304" s="9" t="s">
        <v>1052</v>
      </c>
      <c r="I304" s="9" t="s">
        <v>1053</v>
      </c>
      <c r="J304" s="9" t="s">
        <v>34</v>
      </c>
      <c r="K304" s="14">
        <v>800</v>
      </c>
      <c r="L304" s="14">
        <v>1127.19</v>
      </c>
      <c r="M304" s="14">
        <v>450</v>
      </c>
      <c r="N304" s="11">
        <f>(Table1[[#This Row],[NTE Approved ]]-Table1[[#This Row],[Cost]])/Table1[[#This Row],[Cost]]</f>
        <v>1.5048666666666668</v>
      </c>
      <c r="O304" s="9" t="s">
        <v>1054</v>
      </c>
      <c r="P304" s="9" t="s">
        <v>28</v>
      </c>
      <c r="Q304" s="13">
        <v>46063</v>
      </c>
      <c r="T304" s="8"/>
    </row>
    <row r="305" spans="1:20" s="9" customFormat="1" ht="27" customHeight="1" x14ac:dyDescent="0.3">
      <c r="A305" s="9">
        <v>341200949</v>
      </c>
      <c r="B305" s="9" t="s">
        <v>73</v>
      </c>
      <c r="C305" s="13">
        <v>46065</v>
      </c>
      <c r="D305" s="13">
        <v>46066</v>
      </c>
      <c r="E305" s="9" t="s">
        <v>21</v>
      </c>
      <c r="F305" s="9" t="s">
        <v>59</v>
      </c>
      <c r="G305" s="9" t="s">
        <v>60</v>
      </c>
      <c r="H305" s="9" t="s">
        <v>1055</v>
      </c>
      <c r="I305" s="9" t="s">
        <v>910</v>
      </c>
      <c r="J305" s="9" t="s">
        <v>63</v>
      </c>
      <c r="K305" s="14">
        <v>550</v>
      </c>
      <c r="L305" s="14">
        <v>526.34</v>
      </c>
      <c r="M305" s="14">
        <v>300</v>
      </c>
      <c r="N305" s="11">
        <f>(Table1[[#This Row],[NTE Approved ]]-Table1[[#This Row],[Cost]])/Table1[[#This Row],[Cost]]</f>
        <v>0.75446666666666673</v>
      </c>
      <c r="O305" s="9" t="s">
        <v>1056</v>
      </c>
      <c r="P305" s="9" t="s">
        <v>28</v>
      </c>
      <c r="Q305" s="13"/>
      <c r="T305" s="8"/>
    </row>
    <row r="306" spans="1:20" s="9" customFormat="1" ht="27" customHeight="1" x14ac:dyDescent="0.3">
      <c r="A306" s="9">
        <v>341293901</v>
      </c>
      <c r="B306" s="9" t="s">
        <v>73</v>
      </c>
      <c r="C306" s="13">
        <v>46066</v>
      </c>
      <c r="D306" s="13">
        <v>46066</v>
      </c>
      <c r="E306" s="9" t="s">
        <v>21</v>
      </c>
      <c r="F306" s="9" t="s">
        <v>59</v>
      </c>
      <c r="G306" s="9" t="s">
        <v>60</v>
      </c>
      <c r="H306" s="9" t="s">
        <v>395</v>
      </c>
      <c r="I306" s="9" t="s">
        <v>396</v>
      </c>
      <c r="J306" s="9" t="s">
        <v>26</v>
      </c>
      <c r="K306" s="14">
        <v>800</v>
      </c>
      <c r="L306" s="14">
        <v>1199.3</v>
      </c>
      <c r="M306" s="14">
        <v>675</v>
      </c>
      <c r="N306" s="11">
        <f>(Table1[[#This Row],[NTE Approved ]]-Table1[[#This Row],[Cost]])/Table1[[#This Row],[Cost]]</f>
        <v>0.77674074074074062</v>
      </c>
      <c r="O306" s="9" t="s">
        <v>1057</v>
      </c>
      <c r="P306" s="9" t="s">
        <v>28</v>
      </c>
      <c r="Q306" s="13"/>
      <c r="T306" s="8"/>
    </row>
    <row r="307" spans="1:20" s="9" customFormat="1" ht="27" customHeight="1" x14ac:dyDescent="0.3">
      <c r="A307" s="9">
        <v>340981720</v>
      </c>
      <c r="B307" s="9" t="s">
        <v>295</v>
      </c>
      <c r="C307" s="13">
        <v>46063</v>
      </c>
      <c r="D307" s="13">
        <v>46066</v>
      </c>
      <c r="E307" s="9" t="s">
        <v>21</v>
      </c>
      <c r="F307" s="9" t="s">
        <v>22</v>
      </c>
      <c r="G307" s="9" t="s">
        <v>92</v>
      </c>
      <c r="H307" s="9" t="s">
        <v>590</v>
      </c>
      <c r="I307" s="9" t="s">
        <v>591</v>
      </c>
      <c r="J307" s="9" t="s">
        <v>195</v>
      </c>
      <c r="K307" s="14">
        <v>450</v>
      </c>
      <c r="L307" s="14">
        <v>440.1</v>
      </c>
      <c r="M307" s="14">
        <v>150</v>
      </c>
      <c r="N307" s="11">
        <f>(Table1[[#This Row],[NTE Approved ]]-Table1[[#This Row],[Cost]])/Table1[[#This Row],[Cost]]</f>
        <v>1.9340000000000002</v>
      </c>
      <c r="O307" s="9" t="s">
        <v>1058</v>
      </c>
      <c r="P307" s="9" t="s">
        <v>28</v>
      </c>
      <c r="Q307" s="13"/>
      <c r="T307" s="8"/>
    </row>
    <row r="308" spans="1:20" s="9" customFormat="1" ht="27" customHeight="1" x14ac:dyDescent="0.3">
      <c r="A308" s="9">
        <v>339329118</v>
      </c>
      <c r="B308" s="9" t="s">
        <v>20</v>
      </c>
      <c r="C308" s="13">
        <v>46049</v>
      </c>
      <c r="D308" s="13">
        <v>46058</v>
      </c>
      <c r="E308" s="9" t="s">
        <v>21</v>
      </c>
      <c r="F308" s="9" t="s">
        <v>30</v>
      </c>
      <c r="G308" s="9" t="s">
        <v>1059</v>
      </c>
      <c r="H308" s="9" t="s">
        <v>1060</v>
      </c>
      <c r="I308" s="9" t="s">
        <v>166</v>
      </c>
      <c r="J308" s="9" t="s">
        <v>199</v>
      </c>
      <c r="K308" s="14">
        <v>750</v>
      </c>
      <c r="L308" s="14">
        <v>537.28</v>
      </c>
      <c r="M308" s="14">
        <v>300</v>
      </c>
      <c r="N308" s="11">
        <f>(Table1[[#This Row],[NTE Approved ]]-Table1[[#This Row],[Cost]])/Table1[[#This Row],[Cost]]</f>
        <v>0.79093333333333327</v>
      </c>
      <c r="O308" s="9" t="s">
        <v>1061</v>
      </c>
      <c r="P308" s="9" t="s">
        <v>28</v>
      </c>
      <c r="Q308" s="13"/>
      <c r="T308" s="8"/>
    </row>
    <row r="309" spans="1:20" s="9" customFormat="1" ht="27" customHeight="1" x14ac:dyDescent="0.3">
      <c r="A309" s="9">
        <v>339531157</v>
      </c>
      <c r="B309" s="9" t="s">
        <v>163</v>
      </c>
      <c r="C309" s="13">
        <v>46064</v>
      </c>
      <c r="D309" s="13">
        <v>46066</v>
      </c>
      <c r="E309" s="9" t="s">
        <v>21</v>
      </c>
      <c r="F309" s="9" t="s">
        <v>759</v>
      </c>
      <c r="G309" s="9" t="s">
        <v>1062</v>
      </c>
      <c r="H309" s="9" t="s">
        <v>1063</v>
      </c>
      <c r="I309" s="9" t="s">
        <v>323</v>
      </c>
      <c r="J309" s="9" t="s">
        <v>144</v>
      </c>
      <c r="K309" s="14">
        <v>750</v>
      </c>
      <c r="L309" s="14">
        <v>745.1</v>
      </c>
      <c r="M309" s="14">
        <v>425</v>
      </c>
      <c r="N309" s="11">
        <f>(Table1[[#This Row],[NTE Approved ]]-Table1[[#This Row],[Cost]])/Table1[[#This Row],[Cost]]</f>
        <v>0.75317647058823534</v>
      </c>
      <c r="O309" s="9" t="s">
        <v>1064</v>
      </c>
      <c r="P309" s="9" t="s">
        <v>28</v>
      </c>
      <c r="Q309" s="13"/>
      <c r="T309" s="8"/>
    </row>
    <row r="310" spans="1:20" s="9" customFormat="1" ht="27" customHeight="1" x14ac:dyDescent="0.3">
      <c r="A310" s="9">
        <v>338572862</v>
      </c>
      <c r="B310" s="9" t="s">
        <v>29</v>
      </c>
      <c r="C310" s="13">
        <v>46055</v>
      </c>
      <c r="D310" s="13">
        <v>46058</v>
      </c>
      <c r="E310" s="9" t="s">
        <v>21</v>
      </c>
      <c r="F310" s="9" t="s">
        <v>361</v>
      </c>
      <c r="G310" s="9" t="s">
        <v>367</v>
      </c>
      <c r="H310" s="9" t="s">
        <v>1065</v>
      </c>
      <c r="I310" s="9" t="s">
        <v>1066</v>
      </c>
      <c r="J310" s="9" t="s">
        <v>144</v>
      </c>
      <c r="K310" s="14">
        <v>500</v>
      </c>
      <c r="L310" s="14">
        <v>150</v>
      </c>
      <c r="M310" s="14"/>
      <c r="N310" s="11" t="e">
        <f>(Table1[[#This Row],[NTE Approved ]]-Table1[[#This Row],[Cost]])/Table1[[#This Row],[Cost]]</f>
        <v>#DIV/0!</v>
      </c>
      <c r="O310" s="9" t="s">
        <v>1067</v>
      </c>
      <c r="P310" s="9" t="s">
        <v>51</v>
      </c>
      <c r="Q310" s="13">
        <v>46062</v>
      </c>
      <c r="T310" s="8"/>
    </row>
    <row r="311" spans="1:20" s="9" customFormat="1" ht="27" customHeight="1" x14ac:dyDescent="0.3">
      <c r="A311" s="9">
        <v>341571658</v>
      </c>
      <c r="B311" s="9" t="s">
        <v>163</v>
      </c>
      <c r="C311" s="13">
        <v>46069</v>
      </c>
      <c r="D311" s="13">
        <v>46069</v>
      </c>
      <c r="E311" s="9" t="s">
        <v>21</v>
      </c>
      <c r="F311" s="9" t="s">
        <v>59</v>
      </c>
      <c r="G311" s="9" t="s">
        <v>1068</v>
      </c>
      <c r="H311" s="9" t="s">
        <v>1069</v>
      </c>
      <c r="I311" s="9" t="s">
        <v>1070</v>
      </c>
      <c r="J311" s="9" t="s">
        <v>1071</v>
      </c>
      <c r="K311" s="14">
        <v>1000</v>
      </c>
      <c r="L311" s="14">
        <v>907.57</v>
      </c>
      <c r="M311" s="14">
        <v>375</v>
      </c>
      <c r="N311" s="11">
        <f>(Table1[[#This Row],[NTE Approved ]]-Table1[[#This Row],[Cost]])/Table1[[#This Row],[Cost]]</f>
        <v>1.4201866666666667</v>
      </c>
      <c r="O311" s="9" t="s">
        <v>1072</v>
      </c>
      <c r="P311" s="9" t="s">
        <v>28</v>
      </c>
      <c r="Q311" s="13"/>
      <c r="T311" s="8"/>
    </row>
    <row r="312" spans="1:20" s="9" customFormat="1" ht="27" customHeight="1" x14ac:dyDescent="0.3">
      <c r="A312" s="9">
        <v>340213178</v>
      </c>
      <c r="B312" s="9" t="s">
        <v>163</v>
      </c>
      <c r="C312" s="13">
        <v>46063</v>
      </c>
      <c r="D312" s="13">
        <v>46064</v>
      </c>
      <c r="E312" s="9" t="s">
        <v>21</v>
      </c>
      <c r="F312" s="9" t="s">
        <v>22</v>
      </c>
      <c r="G312" s="9" t="s">
        <v>1073</v>
      </c>
      <c r="H312" s="9" t="s">
        <v>211</v>
      </c>
      <c r="I312" s="9" t="s">
        <v>212</v>
      </c>
      <c r="J312" s="9" t="s">
        <v>195</v>
      </c>
      <c r="K312" s="14">
        <v>450</v>
      </c>
      <c r="L312" s="14">
        <v>421.2</v>
      </c>
      <c r="M312" s="14">
        <v>25</v>
      </c>
      <c r="N312" s="11">
        <f>(Table1[[#This Row],[NTE Approved ]]-Table1[[#This Row],[Cost]])/Table1[[#This Row],[Cost]]</f>
        <v>15.847999999999999</v>
      </c>
      <c r="O312" s="9" t="s">
        <v>1074</v>
      </c>
      <c r="P312" s="9" t="s">
        <v>28</v>
      </c>
      <c r="Q312" s="13"/>
      <c r="T312" s="8"/>
    </row>
    <row r="313" spans="1:20" s="9" customFormat="1" ht="27" customHeight="1" x14ac:dyDescent="0.3">
      <c r="A313" s="9">
        <v>334988234</v>
      </c>
      <c r="B313" s="9" t="s">
        <v>163</v>
      </c>
      <c r="C313" s="13">
        <v>46007</v>
      </c>
      <c r="D313" s="13">
        <v>46008</v>
      </c>
      <c r="E313" s="9" t="s">
        <v>21</v>
      </c>
      <c r="F313" s="9" t="s">
        <v>22</v>
      </c>
      <c r="G313" s="9" t="s">
        <v>1073</v>
      </c>
      <c r="H313" s="9" t="s">
        <v>211</v>
      </c>
      <c r="I313" s="9" t="s">
        <v>212</v>
      </c>
      <c r="J313" s="9" t="s">
        <v>195</v>
      </c>
      <c r="K313" s="14">
        <v>750</v>
      </c>
      <c r="L313" s="14">
        <v>702</v>
      </c>
      <c r="M313" s="14">
        <v>300</v>
      </c>
      <c r="N313" s="11">
        <f>(Table1[[#This Row],[NTE Approved ]]-Table1[[#This Row],[Cost]])/Table1[[#This Row],[Cost]]</f>
        <v>1.34</v>
      </c>
      <c r="O313" s="9" t="s">
        <v>1075</v>
      </c>
      <c r="P313" s="9" t="s">
        <v>28</v>
      </c>
      <c r="Q313" s="13">
        <v>46014</v>
      </c>
      <c r="T313" s="8"/>
    </row>
    <row r="314" spans="1:20" s="9" customFormat="1" ht="27" customHeight="1" x14ac:dyDescent="0.3">
      <c r="A314" s="9">
        <v>339394254</v>
      </c>
      <c r="B314" s="9" t="s">
        <v>163</v>
      </c>
      <c r="C314" s="13">
        <v>46050</v>
      </c>
      <c r="D314" s="13">
        <v>46051</v>
      </c>
      <c r="E314" s="9" t="s">
        <v>21</v>
      </c>
      <c r="F314" s="9" t="s">
        <v>59</v>
      </c>
      <c r="G314" s="9" t="s">
        <v>60</v>
      </c>
      <c r="H314" s="9" t="s">
        <v>1076</v>
      </c>
      <c r="I314" s="9" t="s">
        <v>987</v>
      </c>
      <c r="J314" s="9" t="s">
        <v>49</v>
      </c>
      <c r="K314" s="14">
        <v>450</v>
      </c>
      <c r="L314" s="14">
        <v>727.11</v>
      </c>
      <c r="M314" s="14">
        <v>407.91</v>
      </c>
      <c r="N314" s="11">
        <f>(Table1[[#This Row],[NTE Approved ]]-Table1[[#This Row],[Cost]])/Table1[[#This Row],[Cost]]</f>
        <v>0.7825255571081855</v>
      </c>
      <c r="O314" s="9" t="s">
        <v>1077</v>
      </c>
      <c r="P314" s="9" t="s">
        <v>28</v>
      </c>
      <c r="Q314" s="13">
        <v>46052</v>
      </c>
      <c r="T314" s="8"/>
    </row>
    <row r="315" spans="1:20" s="9" customFormat="1" ht="27" customHeight="1" x14ac:dyDescent="0.3">
      <c r="A315" s="9">
        <v>341304888</v>
      </c>
      <c r="B315" s="9" t="s">
        <v>163</v>
      </c>
      <c r="C315" s="13">
        <v>46070</v>
      </c>
      <c r="D315" s="13">
        <v>46072</v>
      </c>
      <c r="E315" s="9" t="s">
        <v>21</v>
      </c>
      <c r="F315" s="9" t="s">
        <v>759</v>
      </c>
      <c r="G315" s="9" t="s">
        <v>1062</v>
      </c>
      <c r="H315" s="9" t="s">
        <v>1078</v>
      </c>
      <c r="I315" s="9" t="s">
        <v>701</v>
      </c>
      <c r="J315" s="9" t="s">
        <v>63</v>
      </c>
      <c r="K315" s="14">
        <v>550</v>
      </c>
      <c r="L315" s="14">
        <v>753.33</v>
      </c>
      <c r="M315" s="14">
        <v>325</v>
      </c>
      <c r="N315" s="11">
        <f>(Table1[[#This Row],[NTE Approved ]]-Table1[[#This Row],[Cost]])/Table1[[#This Row],[Cost]]</f>
        <v>1.3179384615384617</v>
      </c>
      <c r="O315" s="9" t="s">
        <v>1079</v>
      </c>
      <c r="P315" s="9" t="s">
        <v>28</v>
      </c>
      <c r="Q315" s="13"/>
      <c r="T315" s="8"/>
    </row>
    <row r="316" spans="1:20" s="9" customFormat="1" ht="27" customHeight="1" x14ac:dyDescent="0.3">
      <c r="A316" s="9">
        <v>341660874</v>
      </c>
      <c r="B316" s="9" t="s">
        <v>163</v>
      </c>
      <c r="C316" s="13">
        <v>46056</v>
      </c>
      <c r="D316" s="13">
        <v>46057</v>
      </c>
      <c r="E316" s="9" t="s">
        <v>21</v>
      </c>
      <c r="F316" s="9" t="s">
        <v>59</v>
      </c>
      <c r="G316" s="9" t="s">
        <v>60</v>
      </c>
      <c r="H316" s="9" t="s">
        <v>986</v>
      </c>
      <c r="I316" s="9" t="s">
        <v>987</v>
      </c>
      <c r="J316" s="9" t="s">
        <v>49</v>
      </c>
      <c r="K316" s="14"/>
      <c r="L316" s="26">
        <v>345.44</v>
      </c>
      <c r="M316" s="14">
        <v>20</v>
      </c>
      <c r="N316" s="11">
        <f>(Table1[[#This Row],[NTE Approved ]]-Table1[[#This Row],[Cost]])/Table1[[#This Row],[Cost]]</f>
        <v>16.271999999999998</v>
      </c>
      <c r="O316" s="9" t="s">
        <v>1080</v>
      </c>
      <c r="P316" s="9" t="s">
        <v>28</v>
      </c>
      <c r="Q316" s="13"/>
      <c r="T316" s="8"/>
    </row>
    <row r="317" spans="1:20" s="9" customFormat="1" ht="27" customHeight="1" x14ac:dyDescent="0.3">
      <c r="A317" s="9">
        <v>340306540</v>
      </c>
      <c r="B317" s="9" t="s">
        <v>163</v>
      </c>
      <c r="C317" s="13">
        <v>46056</v>
      </c>
      <c r="D317" s="13">
        <v>46057</v>
      </c>
      <c r="E317" s="9" t="s">
        <v>21</v>
      </c>
      <c r="F317" s="9" t="s">
        <v>59</v>
      </c>
      <c r="G317" s="9" t="s">
        <v>60</v>
      </c>
      <c r="H317" s="9" t="s">
        <v>1081</v>
      </c>
      <c r="I317" s="9" t="s">
        <v>1082</v>
      </c>
      <c r="J317" s="9" t="s">
        <v>63</v>
      </c>
      <c r="K317" s="14">
        <v>550</v>
      </c>
      <c r="L317" s="14">
        <v>748.99</v>
      </c>
      <c r="M317" s="14">
        <v>706.8</v>
      </c>
      <c r="N317" s="11">
        <f>(Table1[[#This Row],[NTE Approved ]]-Table1[[#This Row],[Cost]])/Table1[[#This Row],[Cost]]</f>
        <v>5.9691567628749373E-2</v>
      </c>
      <c r="O317" s="9" t="s">
        <v>1083</v>
      </c>
      <c r="P317" s="9" t="s">
        <v>28</v>
      </c>
      <c r="Q317" s="13">
        <v>46062</v>
      </c>
      <c r="T317" s="8"/>
    </row>
    <row r="318" spans="1:20" s="9" customFormat="1" ht="27" customHeight="1" x14ac:dyDescent="0.3">
      <c r="A318" s="9">
        <v>341629955</v>
      </c>
      <c r="B318" s="9" t="s">
        <v>163</v>
      </c>
      <c r="C318" s="13">
        <v>46070</v>
      </c>
      <c r="D318" s="13">
        <v>46070</v>
      </c>
      <c r="E318" s="9" t="s">
        <v>21</v>
      </c>
      <c r="F318" s="9" t="s">
        <v>59</v>
      </c>
      <c r="G318" s="9" t="s">
        <v>237</v>
      </c>
      <c r="H318" s="9" t="s">
        <v>1084</v>
      </c>
      <c r="I318" s="9" t="s">
        <v>1085</v>
      </c>
      <c r="J318" s="9" t="s">
        <v>63</v>
      </c>
      <c r="K318" s="14">
        <v>350</v>
      </c>
      <c r="L318" s="14">
        <v>1366.39</v>
      </c>
      <c r="M318" s="14">
        <v>700</v>
      </c>
      <c r="N318" s="11">
        <f>(Table1[[#This Row],[NTE Approved ]]-Table1[[#This Row],[Cost]])/Table1[[#This Row],[Cost]]</f>
        <v>0.95198571428571443</v>
      </c>
      <c r="O318" s="9" t="s">
        <v>1086</v>
      </c>
      <c r="P318" s="9" t="s">
        <v>28</v>
      </c>
      <c r="Q318" s="13"/>
      <c r="T318" s="8"/>
    </row>
    <row r="319" spans="1:20" s="9" customFormat="1" ht="27" customHeight="1" x14ac:dyDescent="0.3">
      <c r="A319" s="9">
        <v>341418362</v>
      </c>
      <c r="B319" s="9" t="s">
        <v>163</v>
      </c>
      <c r="C319" s="13">
        <v>46071</v>
      </c>
      <c r="D319" s="13">
        <v>46071</v>
      </c>
      <c r="E319" s="9" t="s">
        <v>21</v>
      </c>
      <c r="F319" s="9" t="s">
        <v>22</v>
      </c>
      <c r="G319" s="9" t="s">
        <v>92</v>
      </c>
      <c r="H319" s="9" t="s">
        <v>915</v>
      </c>
      <c r="I319" s="9" t="s">
        <v>916</v>
      </c>
      <c r="J319" s="9" t="s">
        <v>235</v>
      </c>
      <c r="K319" s="14">
        <v>750</v>
      </c>
      <c r="L319" s="14">
        <v>583.20000000000005</v>
      </c>
      <c r="M319" s="14">
        <v>125</v>
      </c>
      <c r="N319" s="11">
        <f>(Table1[[#This Row],[NTE Approved ]]-Table1[[#This Row],[Cost]])/Table1[[#This Row],[Cost]]</f>
        <v>3.6656000000000004</v>
      </c>
      <c r="O319" s="9" t="s">
        <v>1087</v>
      </c>
      <c r="P319" s="9" t="s">
        <v>28</v>
      </c>
      <c r="Q319" s="13"/>
      <c r="T319" s="8"/>
    </row>
    <row r="320" spans="1:20" s="9" customFormat="1" ht="27" customHeight="1" x14ac:dyDescent="0.3">
      <c r="A320" s="9">
        <v>332558014</v>
      </c>
      <c r="B320" s="9" t="s">
        <v>20</v>
      </c>
      <c r="C320" s="13">
        <v>45982</v>
      </c>
      <c r="D320" s="13">
        <v>45982</v>
      </c>
      <c r="E320" s="9" t="s">
        <v>21</v>
      </c>
      <c r="F320" s="9" t="s">
        <v>22</v>
      </c>
      <c r="G320" s="9" t="s">
        <v>1088</v>
      </c>
      <c r="H320" s="9" t="s">
        <v>1089</v>
      </c>
      <c r="I320" s="9" t="s">
        <v>1090</v>
      </c>
      <c r="J320" s="9" t="s">
        <v>100</v>
      </c>
      <c r="K320" s="26">
        <v>750</v>
      </c>
      <c r="L320" s="14">
        <v>3847.24</v>
      </c>
      <c r="M320" s="14">
        <v>2009.08</v>
      </c>
      <c r="N320" s="11">
        <f>(Table1[[#This Row],[NTE Approved ]]-Table1[[#This Row],[Cost]])/Table1[[#This Row],[Cost]]</f>
        <v>0.91492623489358305</v>
      </c>
      <c r="O320" s="9" t="s">
        <v>1091</v>
      </c>
      <c r="P320" s="9" t="s">
        <v>28</v>
      </c>
      <c r="Q320" s="13"/>
      <c r="R320" s="9" t="s">
        <v>1092</v>
      </c>
      <c r="T320" s="8"/>
    </row>
    <row r="321" spans="1:20" s="9" customFormat="1" ht="27" customHeight="1" x14ac:dyDescent="0.3">
      <c r="A321" s="9">
        <v>340941374</v>
      </c>
      <c r="B321" s="9" t="s">
        <v>125</v>
      </c>
      <c r="C321" s="13">
        <v>46063</v>
      </c>
      <c r="D321" s="13">
        <v>46064</v>
      </c>
      <c r="E321" s="9" t="s">
        <v>21</v>
      </c>
      <c r="F321" s="9" t="s">
        <v>59</v>
      </c>
      <c r="G321" s="9" t="s">
        <v>269</v>
      </c>
      <c r="H321" s="9" t="s">
        <v>1093</v>
      </c>
      <c r="I321" s="9" t="s">
        <v>468</v>
      </c>
      <c r="J321" s="9" t="s">
        <v>63</v>
      </c>
      <c r="K321" s="14">
        <v>550</v>
      </c>
      <c r="L321" s="14">
        <v>803.7</v>
      </c>
      <c r="M321" s="14">
        <v>350</v>
      </c>
      <c r="N321" s="11">
        <f>(Table1[[#This Row],[NTE Approved ]]-Table1[[#This Row],[Cost]])/Table1[[#This Row],[Cost]]</f>
        <v>1.2962857142857145</v>
      </c>
      <c r="O321" s="9" t="s">
        <v>1094</v>
      </c>
      <c r="P321" s="9" t="s">
        <v>28</v>
      </c>
      <c r="Q321" s="13"/>
      <c r="T321" s="8"/>
    </row>
    <row r="322" spans="1:20" s="9" customFormat="1" ht="27" customHeight="1" x14ac:dyDescent="0.3">
      <c r="A322" s="9">
        <v>341715006</v>
      </c>
      <c r="B322" s="9" t="s">
        <v>80</v>
      </c>
      <c r="C322" s="13">
        <v>46071</v>
      </c>
      <c r="D322" s="13">
        <v>46077</v>
      </c>
      <c r="E322" s="9" t="s">
        <v>21</v>
      </c>
      <c r="F322" s="9" t="s">
        <v>38</v>
      </c>
      <c r="G322" s="9" t="s">
        <v>1026</v>
      </c>
      <c r="H322" s="9" t="s">
        <v>1095</v>
      </c>
      <c r="I322" s="9" t="s">
        <v>1096</v>
      </c>
      <c r="J322" s="9" t="s">
        <v>216</v>
      </c>
      <c r="K322" s="14">
        <v>100</v>
      </c>
      <c r="L322" s="14">
        <v>100</v>
      </c>
      <c r="M322" s="14">
        <v>100</v>
      </c>
      <c r="N322" s="11">
        <f>(Table1[[#This Row],[NTE Approved ]]-Table1[[#This Row],[Cost]])/Table1[[#This Row],[Cost]]</f>
        <v>0</v>
      </c>
      <c r="O322" s="9" t="s">
        <v>1097</v>
      </c>
      <c r="P322" s="9" t="s">
        <v>28</v>
      </c>
      <c r="Q322" s="13"/>
      <c r="T322" s="8"/>
    </row>
    <row r="323" spans="1:20" s="9" customFormat="1" ht="27" customHeight="1" x14ac:dyDescent="0.3">
      <c r="A323" s="9">
        <v>341766821</v>
      </c>
      <c r="B323" s="9" t="s">
        <v>163</v>
      </c>
      <c r="C323" s="13">
        <v>46071</v>
      </c>
      <c r="D323" s="13">
        <v>46072</v>
      </c>
      <c r="E323" s="9" t="s">
        <v>21</v>
      </c>
      <c r="F323" s="9" t="s">
        <v>59</v>
      </c>
      <c r="G323" s="9" t="s">
        <v>269</v>
      </c>
      <c r="H323" s="9" t="s">
        <v>1098</v>
      </c>
      <c r="I323" s="9" t="s">
        <v>548</v>
      </c>
      <c r="J323" s="9" t="s">
        <v>132</v>
      </c>
      <c r="K323" s="14">
        <v>500</v>
      </c>
      <c r="L323" s="14">
        <v>992.97</v>
      </c>
      <c r="M323" s="14">
        <v>550</v>
      </c>
      <c r="N323" s="11">
        <f>(Table1[[#This Row],[NTE Approved ]]-Table1[[#This Row],[Cost]])/Table1[[#This Row],[Cost]]</f>
        <v>0.8054</v>
      </c>
      <c r="O323" s="9" t="s">
        <v>1099</v>
      </c>
      <c r="P323" s="9" t="s">
        <v>28</v>
      </c>
      <c r="Q323" s="13"/>
      <c r="T323" s="8"/>
    </row>
    <row r="324" spans="1:20" s="9" customFormat="1" ht="27" customHeight="1" x14ac:dyDescent="0.3">
      <c r="A324" s="29">
        <v>340861137</v>
      </c>
      <c r="B324" s="9" t="s">
        <v>29</v>
      </c>
      <c r="C324" s="13">
        <v>46062</v>
      </c>
      <c r="D324" s="13">
        <v>46064</v>
      </c>
      <c r="E324" s="9" t="s">
        <v>21</v>
      </c>
      <c r="F324" s="9" t="s">
        <v>22</v>
      </c>
      <c r="G324" s="9" t="s">
        <v>619</v>
      </c>
      <c r="H324" s="9" t="s">
        <v>1100</v>
      </c>
      <c r="I324" s="9" t="s">
        <v>1101</v>
      </c>
      <c r="J324" s="9" t="s">
        <v>144</v>
      </c>
      <c r="K324" s="14">
        <v>750</v>
      </c>
      <c r="L324" s="14">
        <v>986.53</v>
      </c>
      <c r="M324" s="14">
        <v>475</v>
      </c>
      <c r="N324" s="11">
        <f>(Table1[[#This Row],[NTE Approved ]]-Table1[[#This Row],[Cost]])/Table1[[#This Row],[Cost]]</f>
        <v>1.0769052631578946</v>
      </c>
      <c r="O324" s="9" t="s">
        <v>1102</v>
      </c>
      <c r="P324" s="9" t="s">
        <v>28</v>
      </c>
      <c r="Q324" s="13">
        <v>46071</v>
      </c>
      <c r="T324" s="8"/>
    </row>
    <row r="325" spans="1:20" s="9" customFormat="1" ht="27" customHeight="1" x14ac:dyDescent="0.3">
      <c r="A325" s="9">
        <v>340939295</v>
      </c>
      <c r="B325" s="9" t="s">
        <v>163</v>
      </c>
      <c r="C325" s="13">
        <v>46071</v>
      </c>
      <c r="D325" s="13">
        <v>46073</v>
      </c>
      <c r="E325" s="9" t="s">
        <v>21</v>
      </c>
      <c r="F325" s="9" t="s">
        <v>22</v>
      </c>
      <c r="G325" s="9" t="s">
        <v>466</v>
      </c>
      <c r="H325" s="9" t="s">
        <v>1103</v>
      </c>
      <c r="I325" s="9" t="s">
        <v>1104</v>
      </c>
      <c r="J325" s="9" t="s">
        <v>42</v>
      </c>
      <c r="K325" s="14">
        <v>250</v>
      </c>
      <c r="L325" s="14">
        <v>240.19</v>
      </c>
      <c r="M325" s="14">
        <v>135</v>
      </c>
      <c r="N325" s="11">
        <f>(Table1[[#This Row],[NTE Approved ]]-Table1[[#This Row],[Cost]])/Table1[[#This Row],[Cost]]</f>
        <v>0.7791851851851852</v>
      </c>
      <c r="O325" s="9" t="s">
        <v>1105</v>
      </c>
      <c r="P325" s="9" t="s">
        <v>28</v>
      </c>
      <c r="Q325" s="13"/>
      <c r="T325" s="8"/>
    </row>
    <row r="326" spans="1:20" s="9" customFormat="1" ht="27" customHeight="1" x14ac:dyDescent="0.3">
      <c r="A326" s="9">
        <v>341087698</v>
      </c>
      <c r="B326" s="9" t="s">
        <v>29</v>
      </c>
      <c r="C326" s="13">
        <v>46071</v>
      </c>
      <c r="D326" s="13">
        <v>46073</v>
      </c>
      <c r="E326" s="9" t="s">
        <v>21</v>
      </c>
      <c r="F326" s="9" t="s">
        <v>22</v>
      </c>
      <c r="G326" s="9" t="s">
        <v>1073</v>
      </c>
      <c r="H326" s="9" t="s">
        <v>1106</v>
      </c>
      <c r="I326" s="9" t="s">
        <v>1107</v>
      </c>
      <c r="J326" s="9" t="s">
        <v>42</v>
      </c>
      <c r="K326" s="14">
        <v>450</v>
      </c>
      <c r="L326" s="14">
        <v>563.05999999999995</v>
      </c>
      <c r="M326" s="14">
        <v>300</v>
      </c>
      <c r="N326" s="11">
        <f>(Table1[[#This Row],[NTE Approved ]]-Table1[[#This Row],[Cost]])/Table1[[#This Row],[Cost]]</f>
        <v>0.87686666666666646</v>
      </c>
      <c r="O326" s="9" t="s">
        <v>1108</v>
      </c>
      <c r="P326" s="9" t="s">
        <v>28</v>
      </c>
      <c r="Q326" s="13"/>
      <c r="T326" s="8"/>
    </row>
    <row r="327" spans="1:20" s="9" customFormat="1" ht="27" customHeight="1" x14ac:dyDescent="0.3">
      <c r="A327" s="9">
        <v>341496112</v>
      </c>
      <c r="B327" s="9" t="s">
        <v>163</v>
      </c>
      <c r="C327" s="13">
        <v>46069</v>
      </c>
      <c r="D327" s="13">
        <v>46070</v>
      </c>
      <c r="E327" s="9" t="s">
        <v>21</v>
      </c>
      <c r="F327" s="9" t="s">
        <v>59</v>
      </c>
      <c r="G327" s="9" t="s">
        <v>617</v>
      </c>
      <c r="H327" s="9" t="s">
        <v>1109</v>
      </c>
      <c r="I327" s="9" t="s">
        <v>1110</v>
      </c>
      <c r="J327" s="9" t="s">
        <v>104</v>
      </c>
      <c r="K327" s="14">
        <v>450</v>
      </c>
      <c r="L327" s="14">
        <v>750.75</v>
      </c>
      <c r="M327" s="14">
        <v>350</v>
      </c>
      <c r="N327" s="11">
        <f>(Table1[[#This Row],[NTE Approved ]]-Table1[[#This Row],[Cost]])/Table1[[#This Row],[Cost]]</f>
        <v>1.145</v>
      </c>
      <c r="O327" s="9" t="s">
        <v>1111</v>
      </c>
      <c r="P327" s="9" t="s">
        <v>28</v>
      </c>
      <c r="Q327" s="13"/>
      <c r="T327" s="8"/>
    </row>
    <row r="328" spans="1:20" s="9" customFormat="1" ht="27" customHeight="1" x14ac:dyDescent="0.3">
      <c r="A328" s="9">
        <v>339303409</v>
      </c>
      <c r="B328" s="9" t="s">
        <v>20</v>
      </c>
      <c r="C328" s="13">
        <v>46059</v>
      </c>
      <c r="D328" s="13">
        <v>46070</v>
      </c>
      <c r="E328" s="9" t="s">
        <v>21</v>
      </c>
      <c r="F328" s="9" t="s">
        <v>759</v>
      </c>
      <c r="G328" s="9" t="s">
        <v>837</v>
      </c>
      <c r="H328" s="9" t="s">
        <v>1112</v>
      </c>
      <c r="I328" s="9" t="s">
        <v>1050</v>
      </c>
      <c r="J328" s="9" t="s">
        <v>56</v>
      </c>
      <c r="K328" s="14">
        <v>500</v>
      </c>
      <c r="L328" s="14">
        <v>1159.92</v>
      </c>
      <c r="M328" s="14">
        <v>455</v>
      </c>
      <c r="N328" s="11">
        <f>(Table1[[#This Row],[NTE Approved ]]-Table1[[#This Row],[Cost]])/Table1[[#This Row],[Cost]]</f>
        <v>1.5492747252747254</v>
      </c>
      <c r="O328" s="9" t="s">
        <v>1113</v>
      </c>
      <c r="P328" s="9" t="s">
        <v>28</v>
      </c>
      <c r="Q328" s="13">
        <v>46065</v>
      </c>
      <c r="T328" s="8"/>
    </row>
    <row r="329" spans="1:20" s="9" customFormat="1" ht="27" customHeight="1" x14ac:dyDescent="0.3">
      <c r="A329" s="9">
        <v>339713379</v>
      </c>
      <c r="B329" s="9" t="s">
        <v>163</v>
      </c>
      <c r="C329" s="13">
        <v>46052</v>
      </c>
      <c r="D329" s="13">
        <v>46055</v>
      </c>
      <c r="E329" s="9" t="s">
        <v>21</v>
      </c>
      <c r="F329" s="9" t="s">
        <v>59</v>
      </c>
      <c r="G329" s="9" t="s">
        <v>890</v>
      </c>
      <c r="H329" s="9" t="s">
        <v>1114</v>
      </c>
      <c r="I329" s="9" t="s">
        <v>856</v>
      </c>
      <c r="J329" s="9" t="s">
        <v>311</v>
      </c>
      <c r="K329" s="14">
        <v>700</v>
      </c>
      <c r="L329" s="14">
        <v>728.75</v>
      </c>
      <c r="M329" s="14">
        <v>413.11</v>
      </c>
      <c r="N329" s="11">
        <f>(Table1[[#This Row],[NTE Approved ]]-Table1[[#This Row],[Cost]])/Table1[[#This Row],[Cost]]</f>
        <v>0.76405799908014804</v>
      </c>
      <c r="O329" s="9" t="s">
        <v>1115</v>
      </c>
      <c r="P329" s="9" t="s">
        <v>28</v>
      </c>
      <c r="Q329" s="13">
        <v>46057</v>
      </c>
      <c r="T329" s="8"/>
    </row>
    <row r="330" spans="1:20" s="9" customFormat="1" ht="27" customHeight="1" x14ac:dyDescent="0.3">
      <c r="A330" s="9">
        <v>341898747</v>
      </c>
      <c r="B330" s="9" t="s">
        <v>163</v>
      </c>
      <c r="C330" s="13">
        <v>46073</v>
      </c>
      <c r="D330" s="13">
        <v>46073</v>
      </c>
      <c r="E330" s="9" t="s">
        <v>21</v>
      </c>
      <c r="F330" s="9" t="s">
        <v>30</v>
      </c>
      <c r="G330" s="9" t="s">
        <v>31</v>
      </c>
      <c r="H330" s="9" t="s">
        <v>457</v>
      </c>
      <c r="I330" s="9" t="s">
        <v>458</v>
      </c>
      <c r="J330" s="9" t="s">
        <v>235</v>
      </c>
      <c r="K330" s="14">
        <v>750</v>
      </c>
      <c r="L330" s="14">
        <v>715.5</v>
      </c>
      <c r="M330" s="14">
        <v>200</v>
      </c>
      <c r="N330" s="11">
        <f>(Table1[[#This Row],[NTE Approved ]]-Table1[[#This Row],[Cost]])/Table1[[#This Row],[Cost]]</f>
        <v>2.5775000000000001</v>
      </c>
      <c r="O330" s="9" t="s">
        <v>1116</v>
      </c>
      <c r="P330" s="9" t="s">
        <v>28</v>
      </c>
      <c r="Q330" s="13"/>
      <c r="T330" s="8"/>
    </row>
    <row r="331" spans="1:20" s="9" customFormat="1" ht="27" customHeight="1" x14ac:dyDescent="0.3">
      <c r="A331" s="9">
        <v>341743972</v>
      </c>
      <c r="B331" s="9" t="s">
        <v>163</v>
      </c>
      <c r="C331" s="13">
        <v>46072</v>
      </c>
      <c r="D331" s="13">
        <v>46073</v>
      </c>
      <c r="E331" s="9" t="s">
        <v>21</v>
      </c>
      <c r="F331" s="9" t="s">
        <v>22</v>
      </c>
      <c r="G331" s="9" t="s">
        <v>619</v>
      </c>
      <c r="H331" s="16" t="s">
        <v>1117</v>
      </c>
      <c r="I331" s="9" t="s">
        <v>1118</v>
      </c>
      <c r="J331" s="9" t="s">
        <v>216</v>
      </c>
      <c r="K331" s="14">
        <v>750</v>
      </c>
      <c r="L331" s="14">
        <v>745.94</v>
      </c>
      <c r="M331" s="14">
        <v>200</v>
      </c>
      <c r="N331" s="11">
        <f>(Table1[[#This Row],[NTE Approved ]]-Table1[[#This Row],[Cost]])/Table1[[#This Row],[Cost]]</f>
        <v>2.7297000000000002</v>
      </c>
      <c r="O331" s="9" t="s">
        <v>1119</v>
      </c>
      <c r="P331" s="9" t="s">
        <v>28</v>
      </c>
      <c r="Q331" s="13"/>
      <c r="T331" s="8"/>
    </row>
    <row r="332" spans="1:20" s="9" customFormat="1" ht="27" customHeight="1" x14ac:dyDescent="0.3">
      <c r="A332" s="9">
        <v>342007403</v>
      </c>
      <c r="B332" s="9" t="s">
        <v>1120</v>
      </c>
      <c r="C332" s="13">
        <v>46073</v>
      </c>
      <c r="D332" s="13">
        <v>46076</v>
      </c>
      <c r="E332" s="9" t="s">
        <v>21</v>
      </c>
      <c r="F332" s="9" t="s">
        <v>59</v>
      </c>
      <c r="G332" s="9" t="s">
        <v>138</v>
      </c>
      <c r="H332" s="9" t="s">
        <v>722</v>
      </c>
      <c r="I332" s="9" t="s">
        <v>723</v>
      </c>
      <c r="J332" s="9" t="s">
        <v>195</v>
      </c>
      <c r="K332" s="14">
        <v>700</v>
      </c>
      <c r="L332" s="14">
        <v>851.57</v>
      </c>
      <c r="M332" s="14">
        <v>450</v>
      </c>
      <c r="N332" s="11">
        <f>(Table1[[#This Row],[NTE Approved ]]-Table1[[#This Row],[Cost]])/Table1[[#This Row],[Cost]]</f>
        <v>0.89237777777777794</v>
      </c>
      <c r="O332" s="9" t="s">
        <v>1121</v>
      </c>
      <c r="P332" s="9" t="s">
        <v>28</v>
      </c>
      <c r="Q332" s="13"/>
      <c r="T332" s="8"/>
    </row>
    <row r="333" spans="1:20" s="9" customFormat="1" ht="27" customHeight="1" x14ac:dyDescent="0.3">
      <c r="A333" s="9">
        <v>337882131</v>
      </c>
      <c r="B333" s="9" t="s">
        <v>20</v>
      </c>
      <c r="C333" s="13">
        <v>46035</v>
      </c>
      <c r="D333" s="13">
        <v>46035</v>
      </c>
      <c r="E333" s="9" t="s">
        <v>21</v>
      </c>
      <c r="F333" s="9" t="s">
        <v>59</v>
      </c>
      <c r="G333" s="9" t="s">
        <v>269</v>
      </c>
      <c r="H333" s="9" t="s">
        <v>121</v>
      </c>
      <c r="I333" s="9" t="s">
        <v>1122</v>
      </c>
      <c r="J333" s="9" t="s">
        <v>123</v>
      </c>
      <c r="K333" s="14"/>
      <c r="L333" s="14">
        <v>150</v>
      </c>
      <c r="M333" s="14">
        <v>150</v>
      </c>
      <c r="N333" s="11">
        <f>(Table1[[#This Row],[NTE Approved ]]-Table1[[#This Row],[Cost]])/Table1[[#This Row],[Cost]]</f>
        <v>0</v>
      </c>
      <c r="O333" s="9" t="s">
        <v>1123</v>
      </c>
      <c r="P333" s="9" t="s">
        <v>51</v>
      </c>
      <c r="Q333" s="13"/>
      <c r="T333" s="8"/>
    </row>
    <row r="334" spans="1:20" s="9" customFormat="1" ht="27" customHeight="1" x14ac:dyDescent="0.3">
      <c r="A334" s="9">
        <v>337980650</v>
      </c>
      <c r="B334" s="9" t="s">
        <v>91</v>
      </c>
      <c r="C334" s="13">
        <v>46036</v>
      </c>
      <c r="D334" s="13">
        <v>46038</v>
      </c>
      <c r="E334" s="9" t="s">
        <v>21</v>
      </c>
      <c r="F334" s="9" t="s">
        <v>59</v>
      </c>
      <c r="G334" s="9" t="s">
        <v>890</v>
      </c>
      <c r="H334" s="9" t="s">
        <v>178</v>
      </c>
      <c r="I334" s="9" t="s">
        <v>179</v>
      </c>
      <c r="J334" s="9" t="s">
        <v>56</v>
      </c>
      <c r="K334" s="14">
        <v>250</v>
      </c>
      <c r="L334" s="14">
        <v>657.37</v>
      </c>
      <c r="M334" s="14">
        <v>340</v>
      </c>
      <c r="N334" s="11">
        <f>(Table1[[#This Row],[NTE Approved ]]-Table1[[#This Row],[Cost]])/Table1[[#This Row],[Cost]]</f>
        <v>0.93344117647058822</v>
      </c>
      <c r="O334" s="9" t="s">
        <v>1124</v>
      </c>
      <c r="P334" s="9" t="s">
        <v>28</v>
      </c>
      <c r="Q334" s="13">
        <v>46037</v>
      </c>
      <c r="T334" s="8"/>
    </row>
    <row r="335" spans="1:20" s="9" customFormat="1" ht="27" customHeight="1" x14ac:dyDescent="0.3">
      <c r="A335" s="9">
        <v>337590893</v>
      </c>
      <c r="B335" s="9" t="s">
        <v>163</v>
      </c>
      <c r="C335" s="13">
        <v>46031</v>
      </c>
      <c r="D335" s="13">
        <v>46038</v>
      </c>
      <c r="E335" s="9" t="s">
        <v>21</v>
      </c>
      <c r="F335" s="9" t="s">
        <v>38</v>
      </c>
      <c r="G335" s="9" t="s">
        <v>1125</v>
      </c>
      <c r="H335" s="9" t="s">
        <v>1126</v>
      </c>
      <c r="I335" s="9" t="s">
        <v>1127</v>
      </c>
      <c r="J335" s="9" t="s">
        <v>104</v>
      </c>
      <c r="K335" s="14">
        <v>500</v>
      </c>
      <c r="L335" s="14">
        <v>150</v>
      </c>
      <c r="M335" s="14"/>
      <c r="N335" s="11" t="e">
        <f>(Table1[[#This Row],[NTE Approved ]]-Table1[[#This Row],[Cost]])/Table1[[#This Row],[Cost]]</f>
        <v>#DIV/0!</v>
      </c>
      <c r="O335" s="9" t="s">
        <v>1128</v>
      </c>
      <c r="P335" s="9" t="s">
        <v>51</v>
      </c>
      <c r="Q335" s="13">
        <v>46050</v>
      </c>
      <c r="T335" s="8"/>
    </row>
    <row r="336" spans="1:20" s="9" customFormat="1" ht="27" customHeight="1" x14ac:dyDescent="0.3">
      <c r="A336" s="9">
        <v>339692689</v>
      </c>
      <c r="B336" s="9" t="s">
        <v>91</v>
      </c>
      <c r="C336" s="13">
        <v>46052</v>
      </c>
      <c r="D336" s="13">
        <v>46052</v>
      </c>
      <c r="E336" s="9" t="s">
        <v>21</v>
      </c>
      <c r="F336" s="9" t="s">
        <v>59</v>
      </c>
      <c r="G336" s="9" t="s">
        <v>120</v>
      </c>
      <c r="H336" s="9" t="s">
        <v>1129</v>
      </c>
      <c r="I336" s="9" t="s">
        <v>1130</v>
      </c>
      <c r="J336" s="9" t="s">
        <v>290</v>
      </c>
      <c r="K336" s="14">
        <v>550</v>
      </c>
      <c r="L336" s="14">
        <v>518.95000000000005</v>
      </c>
      <c r="M336" s="14">
        <v>175</v>
      </c>
      <c r="N336" s="11">
        <f>(Table1[[#This Row],[NTE Approved ]]-Table1[[#This Row],[Cost]])/Table1[[#This Row],[Cost]]</f>
        <v>1.9654285714285717</v>
      </c>
      <c r="O336" s="9" t="s">
        <v>1131</v>
      </c>
      <c r="P336" s="9" t="s">
        <v>28</v>
      </c>
      <c r="Q336" s="13"/>
      <c r="T336" s="8"/>
    </row>
    <row r="337" spans="1:153" s="9" customFormat="1" ht="27" customHeight="1" x14ac:dyDescent="0.3">
      <c r="A337" s="9">
        <v>339685293</v>
      </c>
      <c r="B337" s="9" t="s">
        <v>91</v>
      </c>
      <c r="C337" s="13">
        <v>46052</v>
      </c>
      <c r="D337" s="13">
        <v>46052</v>
      </c>
      <c r="E337" s="9" t="s">
        <v>21</v>
      </c>
      <c r="F337" s="9" t="s">
        <v>30</v>
      </c>
      <c r="G337" s="9" t="s">
        <v>229</v>
      </c>
      <c r="H337" s="9" t="s">
        <v>859</v>
      </c>
      <c r="I337" s="9" t="s">
        <v>860</v>
      </c>
      <c r="J337" s="9" t="s">
        <v>26</v>
      </c>
      <c r="K337" s="14">
        <v>750</v>
      </c>
      <c r="L337" s="14">
        <v>614.75</v>
      </c>
      <c r="M337" s="14">
        <v>350</v>
      </c>
      <c r="N337" s="11">
        <f>(Table1[[#This Row],[NTE Approved ]]-Table1[[#This Row],[Cost]])/Table1[[#This Row],[Cost]]</f>
        <v>0.75642857142857145</v>
      </c>
      <c r="O337" s="16" t="s">
        <v>1132</v>
      </c>
      <c r="P337" s="9" t="s">
        <v>51</v>
      </c>
      <c r="Q337" s="13"/>
      <c r="T337" s="8"/>
    </row>
    <row r="338" spans="1:153" s="9" customFormat="1" ht="27" customHeight="1" x14ac:dyDescent="0.3">
      <c r="A338" s="9">
        <v>340165296</v>
      </c>
      <c r="B338" s="9" t="s">
        <v>163</v>
      </c>
      <c r="C338" s="13">
        <v>46055</v>
      </c>
      <c r="D338" s="13">
        <v>46055</v>
      </c>
      <c r="E338" s="9" t="s">
        <v>21</v>
      </c>
      <c r="F338" s="9" t="s">
        <v>59</v>
      </c>
      <c r="G338" s="9" t="s">
        <v>60</v>
      </c>
      <c r="H338" s="9" t="s">
        <v>1133</v>
      </c>
      <c r="I338" s="9" t="s">
        <v>1134</v>
      </c>
      <c r="J338" s="9" t="s">
        <v>132</v>
      </c>
      <c r="K338" s="14">
        <v>850</v>
      </c>
      <c r="L338" s="14">
        <v>337.5</v>
      </c>
      <c r="M338" s="14">
        <v>90</v>
      </c>
      <c r="N338" s="11">
        <f>(Table1[[#This Row],[NTE Approved ]]-Table1[[#This Row],[Cost]])/Table1[[#This Row],[Cost]]</f>
        <v>2.75</v>
      </c>
      <c r="O338" s="9" t="s">
        <v>1132</v>
      </c>
      <c r="P338" s="9" t="s">
        <v>51</v>
      </c>
      <c r="Q338" s="13"/>
      <c r="T338" s="8"/>
    </row>
    <row r="339" spans="1:153" s="9" customFormat="1" ht="27" customHeight="1" x14ac:dyDescent="0.3">
      <c r="A339" s="9">
        <v>340288593</v>
      </c>
      <c r="B339" s="9" t="s">
        <v>20</v>
      </c>
      <c r="C339" s="13">
        <v>46056</v>
      </c>
      <c r="D339" s="13">
        <v>46056</v>
      </c>
      <c r="E339" s="9" t="s">
        <v>21</v>
      </c>
      <c r="F339" s="9" t="s">
        <v>59</v>
      </c>
      <c r="G339" s="9" t="s">
        <v>237</v>
      </c>
      <c r="H339" s="9" t="s">
        <v>1135</v>
      </c>
      <c r="I339" s="9" t="s">
        <v>1136</v>
      </c>
      <c r="J339" s="9" t="s">
        <v>216</v>
      </c>
      <c r="K339" s="14">
        <v>1000</v>
      </c>
      <c r="L339" s="14">
        <v>877.5</v>
      </c>
      <c r="M339" s="14">
        <v>300</v>
      </c>
      <c r="N339" s="11">
        <f>(Table1[[#This Row],[NTE Approved ]]-Table1[[#This Row],[Cost]])/Table1[[#This Row],[Cost]]</f>
        <v>1.925</v>
      </c>
      <c r="O339" s="9" t="s">
        <v>1137</v>
      </c>
      <c r="P339" s="9" t="s">
        <v>28</v>
      </c>
      <c r="Q339" s="13"/>
      <c r="T339" s="8"/>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row>
    <row r="340" spans="1:153" ht="27" customHeight="1" x14ac:dyDescent="0.3">
      <c r="A340" s="9">
        <v>339206830</v>
      </c>
      <c r="B340" s="9" t="s">
        <v>91</v>
      </c>
      <c r="C340" s="13">
        <v>46055</v>
      </c>
      <c r="D340" s="13">
        <v>46056</v>
      </c>
      <c r="E340" s="9" t="s">
        <v>21</v>
      </c>
      <c r="F340" s="9" t="s">
        <v>22</v>
      </c>
      <c r="G340" s="9" t="s">
        <v>466</v>
      </c>
      <c r="H340" s="9" t="s">
        <v>1138</v>
      </c>
      <c r="I340" s="9" t="s">
        <v>1139</v>
      </c>
      <c r="J340" s="9" t="s">
        <v>311</v>
      </c>
      <c r="K340" s="14">
        <v>250</v>
      </c>
      <c r="L340" s="14">
        <v>240.75</v>
      </c>
      <c r="M340" s="14">
        <v>100</v>
      </c>
      <c r="N340" s="11">
        <f>(Table1[[#This Row],[NTE Approved ]]-Table1[[#This Row],[Cost]])/Table1[[#This Row],[Cost]]</f>
        <v>1.4075</v>
      </c>
      <c r="O340" s="9" t="s">
        <v>1140</v>
      </c>
      <c r="P340" s="9" t="s">
        <v>28</v>
      </c>
      <c r="Q340" s="13"/>
      <c r="R340" s="9"/>
      <c r="S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c r="DA340" s="9"/>
      <c r="DB340" s="9"/>
      <c r="DC340" s="9"/>
      <c r="DD340" s="9"/>
      <c r="DE340" s="9"/>
      <c r="DF340" s="9"/>
      <c r="DG340" s="9"/>
      <c r="DH340" s="9"/>
      <c r="DI340" s="9"/>
      <c r="DJ340" s="9"/>
      <c r="DK340" s="9"/>
      <c r="DL340" s="9"/>
      <c r="DM340" s="9"/>
      <c r="DN340" s="9"/>
      <c r="DO340" s="9"/>
      <c r="DP340" s="9"/>
      <c r="DQ340" s="9"/>
      <c r="DR340" s="9"/>
      <c r="DS340" s="9"/>
      <c r="DT340" s="9"/>
      <c r="DU340" s="9"/>
      <c r="DV340" s="9"/>
      <c r="DW340" s="9"/>
      <c r="DX340" s="9"/>
      <c r="DY340" s="9"/>
      <c r="DZ340" s="9"/>
      <c r="EA340" s="9"/>
      <c r="EB340" s="9"/>
      <c r="EC340" s="9"/>
      <c r="ED340" s="9"/>
      <c r="EE340" s="9"/>
      <c r="EF340" s="9"/>
      <c r="EG340" s="9"/>
      <c r="EH340" s="9"/>
      <c r="EI340" s="9"/>
      <c r="EJ340" s="9"/>
      <c r="EK340" s="9"/>
      <c r="EL340" s="9"/>
      <c r="EM340" s="9"/>
      <c r="EN340" s="9"/>
      <c r="EO340" s="9"/>
      <c r="EP340" s="9"/>
      <c r="EQ340" s="9"/>
      <c r="ER340" s="9"/>
      <c r="ES340" s="9"/>
      <c r="ET340" s="9"/>
      <c r="EU340" s="9"/>
      <c r="EV340" s="9"/>
      <c r="EW340" s="9"/>
    </row>
    <row r="341" spans="1:153" s="9" customFormat="1" ht="27" customHeight="1" x14ac:dyDescent="0.3">
      <c r="A341" s="9">
        <v>338110298</v>
      </c>
      <c r="B341" s="9" t="s">
        <v>20</v>
      </c>
      <c r="C341" s="13">
        <v>46058</v>
      </c>
      <c r="D341" s="13">
        <v>46064</v>
      </c>
      <c r="E341" s="9" t="s">
        <v>21</v>
      </c>
      <c r="F341" s="9" t="s">
        <v>45</v>
      </c>
      <c r="G341" s="9" t="s">
        <v>46</v>
      </c>
      <c r="H341" s="9" t="s">
        <v>1141</v>
      </c>
      <c r="I341" s="9" t="s">
        <v>1142</v>
      </c>
      <c r="J341" s="9" t="s">
        <v>199</v>
      </c>
      <c r="K341" s="14">
        <v>500</v>
      </c>
      <c r="L341" s="14">
        <v>492.15</v>
      </c>
      <c r="M341" s="14">
        <v>280</v>
      </c>
      <c r="N341" s="11">
        <f>(Table1[[#This Row],[NTE Approved ]]-Table1[[#This Row],[Cost]])/Table1[[#This Row],[Cost]]</f>
        <v>0.75767857142857131</v>
      </c>
      <c r="O341" s="9" t="s">
        <v>1143</v>
      </c>
      <c r="P341" s="9" t="s">
        <v>28</v>
      </c>
      <c r="Q341" s="13"/>
      <c r="T341" s="8"/>
    </row>
    <row r="342" spans="1:153" s="9" customFormat="1" ht="27" customHeight="1" x14ac:dyDescent="0.3">
      <c r="A342" s="9">
        <v>340847089</v>
      </c>
      <c r="B342" s="9" t="s">
        <v>91</v>
      </c>
      <c r="C342" s="13">
        <v>46062</v>
      </c>
      <c r="D342" s="13">
        <v>46062</v>
      </c>
      <c r="E342" s="9" t="s">
        <v>21</v>
      </c>
      <c r="F342" s="9" t="s">
        <v>30</v>
      </c>
      <c r="G342" s="9" t="s">
        <v>229</v>
      </c>
      <c r="H342" s="9" t="s">
        <v>1144</v>
      </c>
      <c r="I342" s="9" t="s">
        <v>1145</v>
      </c>
      <c r="J342" s="9" t="s">
        <v>1146</v>
      </c>
      <c r="K342" s="14">
        <v>750</v>
      </c>
      <c r="L342" s="14">
        <v>617.09</v>
      </c>
      <c r="M342" s="14">
        <v>350</v>
      </c>
      <c r="N342" s="11">
        <f>(Table1[[#This Row],[NTE Approved ]]-Table1[[#This Row],[Cost]])/Table1[[#This Row],[Cost]]</f>
        <v>0.76311428571428586</v>
      </c>
      <c r="O342" s="9" t="s">
        <v>1147</v>
      </c>
      <c r="P342" s="9" t="s">
        <v>28</v>
      </c>
      <c r="Q342" s="13"/>
      <c r="T342" s="8"/>
    </row>
    <row r="343" spans="1:153" s="9" customFormat="1" ht="27" customHeight="1" x14ac:dyDescent="0.3">
      <c r="A343" s="9">
        <v>338672630</v>
      </c>
      <c r="B343" s="9" t="s">
        <v>91</v>
      </c>
      <c r="C343" s="13">
        <v>46062</v>
      </c>
      <c r="D343" s="13">
        <v>46062</v>
      </c>
      <c r="E343" s="9" t="s">
        <v>21</v>
      </c>
      <c r="F343" s="9" t="s">
        <v>22</v>
      </c>
      <c r="G343" s="9" t="s">
        <v>1148</v>
      </c>
      <c r="H343" s="9" t="s">
        <v>1149</v>
      </c>
      <c r="I343" s="9" t="s">
        <v>1150</v>
      </c>
      <c r="J343" s="9" t="s">
        <v>199</v>
      </c>
      <c r="K343" s="14">
        <v>750</v>
      </c>
      <c r="L343" s="27">
        <v>641.89</v>
      </c>
      <c r="M343" s="14">
        <v>250</v>
      </c>
      <c r="N343" s="11">
        <f>(Table1[[#This Row],[NTE Approved ]]-Table1[[#This Row],[Cost]])/Table1[[#This Row],[Cost]]</f>
        <v>1.5675599999999998</v>
      </c>
      <c r="O343" s="9" t="s">
        <v>1151</v>
      </c>
      <c r="P343" s="9" t="s">
        <v>28</v>
      </c>
      <c r="Q343" s="13"/>
      <c r="T343" s="8"/>
    </row>
    <row r="344" spans="1:153" s="9" customFormat="1" ht="27" customHeight="1" x14ac:dyDescent="0.3">
      <c r="A344" s="9">
        <v>340841854</v>
      </c>
      <c r="B344" s="9" t="s">
        <v>91</v>
      </c>
      <c r="C344" s="13">
        <v>46055</v>
      </c>
      <c r="D344" s="13">
        <v>46062</v>
      </c>
      <c r="E344" s="9" t="s">
        <v>21</v>
      </c>
      <c r="F344" s="9" t="s">
        <v>59</v>
      </c>
      <c r="G344" s="9" t="s">
        <v>237</v>
      </c>
      <c r="H344" s="9" t="s">
        <v>1152</v>
      </c>
      <c r="I344" s="9" t="s">
        <v>1153</v>
      </c>
      <c r="J344" s="9" t="s">
        <v>34</v>
      </c>
      <c r="K344" s="14">
        <v>1000</v>
      </c>
      <c r="L344" s="14">
        <v>781.67</v>
      </c>
      <c r="M344" s="14">
        <v>400</v>
      </c>
      <c r="N344" s="11">
        <f>(Table1[[#This Row],[NTE Approved ]]-Table1[[#This Row],[Cost]])/Table1[[#This Row],[Cost]]</f>
        <v>0.95417499999999988</v>
      </c>
      <c r="O344" s="9" t="s">
        <v>1154</v>
      </c>
      <c r="P344" s="9" t="s">
        <v>28</v>
      </c>
      <c r="Q344" s="13"/>
      <c r="T344" s="8"/>
    </row>
    <row r="345" spans="1:153" s="9" customFormat="1" ht="27" customHeight="1" x14ac:dyDescent="0.3">
      <c r="A345" s="16">
        <v>339189827</v>
      </c>
      <c r="B345" s="9" t="s">
        <v>20</v>
      </c>
      <c r="C345" s="13">
        <v>46055</v>
      </c>
      <c r="D345" s="13">
        <v>46062</v>
      </c>
      <c r="E345" s="9" t="s">
        <v>21</v>
      </c>
      <c r="F345" s="9" t="s">
        <v>22</v>
      </c>
      <c r="G345" s="9" t="s">
        <v>1155</v>
      </c>
      <c r="H345" s="9" t="s">
        <v>1156</v>
      </c>
      <c r="I345" s="9" t="s">
        <v>1157</v>
      </c>
      <c r="J345" s="9" t="s">
        <v>49</v>
      </c>
      <c r="K345" s="14">
        <v>450</v>
      </c>
      <c r="L345" s="14">
        <v>286.73</v>
      </c>
      <c r="M345" s="14">
        <v>140</v>
      </c>
      <c r="N345" s="11">
        <f>(Table1[[#This Row],[NTE Approved ]]-Table1[[#This Row],[Cost]])/Table1[[#This Row],[Cost]]</f>
        <v>1.0480714285714288</v>
      </c>
      <c r="O345" s="9" t="s">
        <v>1158</v>
      </c>
      <c r="P345" s="9" t="s">
        <v>28</v>
      </c>
      <c r="Q345" s="13"/>
      <c r="T345" s="8"/>
    </row>
    <row r="346" spans="1:153" s="9" customFormat="1" ht="27" customHeight="1" x14ac:dyDescent="0.3">
      <c r="A346" s="9">
        <v>339421555</v>
      </c>
      <c r="B346" s="9" t="s">
        <v>163</v>
      </c>
      <c r="C346" s="13">
        <v>46051</v>
      </c>
      <c r="D346" s="13">
        <v>46053</v>
      </c>
      <c r="E346" s="9" t="s">
        <v>21</v>
      </c>
      <c r="F346" s="9" t="s">
        <v>38</v>
      </c>
      <c r="G346" s="9" t="s">
        <v>1159</v>
      </c>
      <c r="H346" s="9" t="s">
        <v>1160</v>
      </c>
      <c r="I346" s="9" t="s">
        <v>1118</v>
      </c>
      <c r="J346" s="9" t="s">
        <v>216</v>
      </c>
      <c r="K346" s="14">
        <v>750</v>
      </c>
      <c r="L346" s="14">
        <v>150</v>
      </c>
      <c r="M346" s="14">
        <v>75</v>
      </c>
      <c r="N346" s="11">
        <f>(Table1[[#This Row],[NTE Approved ]]-Table1[[#This Row],[Cost]])/Table1[[#This Row],[Cost]]</f>
        <v>1</v>
      </c>
      <c r="O346" s="9" t="s">
        <v>1161</v>
      </c>
      <c r="P346" s="9" t="s">
        <v>51</v>
      </c>
      <c r="Q346" s="13"/>
      <c r="T346" s="8"/>
    </row>
    <row r="347" spans="1:153" s="9" customFormat="1" ht="27" customHeight="1" x14ac:dyDescent="0.3">
      <c r="A347" s="9">
        <v>339413315</v>
      </c>
      <c r="B347" s="9" t="s">
        <v>163</v>
      </c>
      <c r="C347" s="13">
        <v>46050</v>
      </c>
      <c r="D347" s="13">
        <v>46056</v>
      </c>
      <c r="E347" s="9" t="s">
        <v>21</v>
      </c>
      <c r="F347" s="9" t="s">
        <v>22</v>
      </c>
      <c r="G347" s="9" t="s">
        <v>224</v>
      </c>
      <c r="H347" s="9" t="s">
        <v>1162</v>
      </c>
      <c r="I347" s="9" t="s">
        <v>1163</v>
      </c>
      <c r="J347" s="9" t="s">
        <v>235</v>
      </c>
      <c r="K347" s="14">
        <v>1500</v>
      </c>
      <c r="L347" s="14">
        <v>170</v>
      </c>
      <c r="M347" s="14">
        <v>125</v>
      </c>
      <c r="N347" s="11">
        <f>(Table1[[#This Row],[NTE Approved ]]-Table1[[#This Row],[Cost]])/Table1[[#This Row],[Cost]]</f>
        <v>0.36</v>
      </c>
      <c r="O347" s="9" t="s">
        <v>1164</v>
      </c>
      <c r="P347" s="9" t="s">
        <v>51</v>
      </c>
      <c r="Q347" s="13"/>
      <c r="T347" s="8"/>
    </row>
    <row r="348" spans="1:153" s="9" customFormat="1" ht="27" customHeight="1" x14ac:dyDescent="0.3">
      <c r="A348" s="9">
        <v>340553762</v>
      </c>
      <c r="B348" s="9" t="s">
        <v>20</v>
      </c>
      <c r="C348" s="13">
        <v>46064</v>
      </c>
      <c r="D348" s="13">
        <v>46073</v>
      </c>
      <c r="E348" s="9" t="s">
        <v>21</v>
      </c>
      <c r="F348" s="9" t="s">
        <v>22</v>
      </c>
      <c r="G348" s="9" t="s">
        <v>466</v>
      </c>
      <c r="H348" s="9" t="s">
        <v>1165</v>
      </c>
      <c r="I348" s="9" t="s">
        <v>1166</v>
      </c>
      <c r="J348" s="9" t="s">
        <v>290</v>
      </c>
      <c r="K348" s="14">
        <v>250</v>
      </c>
      <c r="L348" s="14">
        <v>245</v>
      </c>
      <c r="M348" s="14">
        <v>140</v>
      </c>
      <c r="N348" s="11">
        <f>(Table1[[#This Row],[NTE Approved ]]-Table1[[#This Row],[Cost]])/Table1[[#This Row],[Cost]]</f>
        <v>0.75</v>
      </c>
      <c r="O348" s="9" t="s">
        <v>1167</v>
      </c>
      <c r="P348" s="9" t="s">
        <v>28</v>
      </c>
      <c r="Q348" s="13"/>
      <c r="T348" s="8"/>
    </row>
    <row r="349" spans="1:153" s="9" customFormat="1" ht="27" customHeight="1" x14ac:dyDescent="0.3">
      <c r="A349" s="9">
        <v>339386323</v>
      </c>
      <c r="B349" s="9" t="s">
        <v>91</v>
      </c>
      <c r="C349" s="13">
        <v>46050</v>
      </c>
      <c r="D349" s="13">
        <v>46050</v>
      </c>
      <c r="E349" s="9" t="s">
        <v>21</v>
      </c>
      <c r="F349" s="9" t="s">
        <v>59</v>
      </c>
      <c r="G349" s="9" t="s">
        <v>890</v>
      </c>
      <c r="H349" s="9" t="s">
        <v>1168</v>
      </c>
      <c r="I349" s="9" t="s">
        <v>1169</v>
      </c>
      <c r="J349" s="9" t="s">
        <v>42</v>
      </c>
      <c r="K349" s="14">
        <v>800</v>
      </c>
      <c r="L349" s="14">
        <v>762.05</v>
      </c>
      <c r="M349" s="14">
        <v>400</v>
      </c>
      <c r="N349" s="11">
        <f>(Table1[[#This Row],[NTE Approved ]]-Table1[[#This Row],[Cost]])/Table1[[#This Row],[Cost]]</f>
        <v>0.90512499999999985</v>
      </c>
      <c r="O349" s="9" t="s">
        <v>1170</v>
      </c>
      <c r="P349" s="9" t="s">
        <v>28</v>
      </c>
      <c r="Q349" s="13">
        <v>46058</v>
      </c>
      <c r="T349" s="8"/>
    </row>
    <row r="350" spans="1:153" s="9" customFormat="1" ht="27" customHeight="1" x14ac:dyDescent="0.3">
      <c r="A350" s="9">
        <v>341177507</v>
      </c>
      <c r="B350" s="9" t="s">
        <v>20</v>
      </c>
      <c r="C350" s="13">
        <v>46065</v>
      </c>
      <c r="D350" s="13">
        <v>46069</v>
      </c>
      <c r="E350" s="9" t="s">
        <v>21</v>
      </c>
      <c r="F350" s="9" t="s">
        <v>59</v>
      </c>
      <c r="G350" s="9" t="s">
        <v>60</v>
      </c>
      <c r="H350" s="9" t="s">
        <v>1171</v>
      </c>
      <c r="I350" s="9" t="s">
        <v>1172</v>
      </c>
      <c r="J350" s="9" t="s">
        <v>56</v>
      </c>
      <c r="K350" s="14">
        <v>550</v>
      </c>
      <c r="L350" s="14">
        <v>451.4</v>
      </c>
      <c r="M350" s="14">
        <v>250</v>
      </c>
      <c r="N350" s="11">
        <f>(Table1[[#This Row],[NTE Approved ]]-Table1[[#This Row],[Cost]])/Table1[[#This Row],[Cost]]</f>
        <v>0.80559999999999987</v>
      </c>
      <c r="O350" s="9" t="s">
        <v>1173</v>
      </c>
      <c r="P350" s="9" t="s">
        <v>28</v>
      </c>
      <c r="Q350" s="13"/>
      <c r="T350" s="8"/>
    </row>
    <row r="351" spans="1:153" s="9" customFormat="1" ht="27" customHeight="1" x14ac:dyDescent="0.3">
      <c r="A351" s="9">
        <v>341177507</v>
      </c>
      <c r="B351" s="9" t="s">
        <v>91</v>
      </c>
      <c r="C351" s="13">
        <v>46064</v>
      </c>
      <c r="D351" s="13">
        <v>46065</v>
      </c>
      <c r="E351" s="9" t="s">
        <v>21</v>
      </c>
      <c r="F351" s="9" t="s">
        <v>759</v>
      </c>
      <c r="G351" s="9" t="s">
        <v>1174</v>
      </c>
      <c r="H351" s="9" t="s">
        <v>1175</v>
      </c>
      <c r="I351" s="9" t="s">
        <v>1176</v>
      </c>
      <c r="J351" s="9" t="s">
        <v>42</v>
      </c>
      <c r="K351" s="14">
        <v>750</v>
      </c>
      <c r="L351" s="14">
        <v>345.13</v>
      </c>
      <c r="M351" s="14">
        <v>150</v>
      </c>
      <c r="N351" s="11">
        <f>(Table1[[#This Row],[NTE Approved ]]-Table1[[#This Row],[Cost]])/Table1[[#This Row],[Cost]]</f>
        <v>1.3008666666666666</v>
      </c>
      <c r="O351" s="9" t="s">
        <v>1177</v>
      </c>
      <c r="P351" s="9" t="s">
        <v>28</v>
      </c>
      <c r="Q351" s="13"/>
      <c r="T351" s="8"/>
    </row>
    <row r="352" spans="1:153" s="9" customFormat="1" ht="27" customHeight="1" x14ac:dyDescent="0.3">
      <c r="A352" s="9">
        <v>341109695</v>
      </c>
      <c r="B352" s="9" t="s">
        <v>91</v>
      </c>
      <c r="C352" s="13">
        <v>46058</v>
      </c>
      <c r="D352" s="13">
        <v>46064</v>
      </c>
      <c r="E352" s="9" t="s">
        <v>21</v>
      </c>
      <c r="F352" s="9" t="s">
        <v>38</v>
      </c>
      <c r="G352" s="9" t="s">
        <v>1178</v>
      </c>
      <c r="H352" s="9" t="s">
        <v>1179</v>
      </c>
      <c r="I352" s="9" t="s">
        <v>1180</v>
      </c>
      <c r="J352" s="9" t="s">
        <v>42</v>
      </c>
      <c r="K352" s="14">
        <v>500</v>
      </c>
      <c r="L352" s="14">
        <v>492.02</v>
      </c>
      <c r="M352" s="14">
        <v>280</v>
      </c>
      <c r="N352" s="11">
        <f>(Table1[[#This Row],[NTE Approved ]]-Table1[[#This Row],[Cost]])/Table1[[#This Row],[Cost]]</f>
        <v>0.75721428571428562</v>
      </c>
      <c r="O352" s="9" t="s">
        <v>1181</v>
      </c>
      <c r="P352" s="9" t="s">
        <v>28</v>
      </c>
      <c r="Q352" s="13"/>
      <c r="T352" s="8"/>
    </row>
    <row r="353" spans="1:20" s="9" customFormat="1" ht="27" customHeight="1" x14ac:dyDescent="0.3">
      <c r="A353" s="9">
        <v>339141058</v>
      </c>
      <c r="B353" s="9" t="s">
        <v>91</v>
      </c>
      <c r="C353" s="13">
        <v>46069</v>
      </c>
      <c r="D353" s="13">
        <v>46069</v>
      </c>
      <c r="E353" s="9" t="s">
        <v>21</v>
      </c>
      <c r="F353" s="9" t="s">
        <v>59</v>
      </c>
      <c r="G353" s="9" t="s">
        <v>237</v>
      </c>
      <c r="H353" s="9" t="s">
        <v>1182</v>
      </c>
      <c r="I353" s="9" t="s">
        <v>1183</v>
      </c>
      <c r="J353" s="9" t="s">
        <v>63</v>
      </c>
      <c r="K353" s="14">
        <v>850</v>
      </c>
      <c r="L353" s="14">
        <v>806.66</v>
      </c>
      <c r="M353" s="14">
        <v>225</v>
      </c>
      <c r="N353" s="11">
        <f>(Table1[[#This Row],[NTE Approved ]]-Table1[[#This Row],[Cost]])/Table1[[#This Row],[Cost]]</f>
        <v>2.5851555555555552</v>
      </c>
      <c r="O353" s="9" t="s">
        <v>1184</v>
      </c>
      <c r="P353" s="9" t="s">
        <v>28</v>
      </c>
      <c r="Q353" s="13"/>
      <c r="T353" s="8"/>
    </row>
    <row r="354" spans="1:20" s="9" customFormat="1" ht="27" customHeight="1" x14ac:dyDescent="0.3">
      <c r="A354" s="9">
        <v>341498306</v>
      </c>
      <c r="B354" s="9" t="s">
        <v>91</v>
      </c>
      <c r="C354" s="13">
        <v>46066</v>
      </c>
      <c r="D354" s="13">
        <v>46070</v>
      </c>
      <c r="E354" s="9" t="s">
        <v>21</v>
      </c>
      <c r="F354" s="9" t="s">
        <v>22</v>
      </c>
      <c r="G354" s="9" t="s">
        <v>224</v>
      </c>
      <c r="H354" s="9" t="s">
        <v>1185</v>
      </c>
      <c r="I354" s="9" t="s">
        <v>1186</v>
      </c>
      <c r="J354" s="9" t="s">
        <v>89</v>
      </c>
      <c r="K354" s="14">
        <v>1500</v>
      </c>
      <c r="L354" s="14">
        <v>331.25</v>
      </c>
      <c r="M354" s="14">
        <v>185</v>
      </c>
      <c r="N354" s="11">
        <f>(Table1[[#This Row],[NTE Approved ]]-Table1[[#This Row],[Cost]])/Table1[[#This Row],[Cost]]</f>
        <v>0.79054054054054057</v>
      </c>
      <c r="O354" s="9" t="s">
        <v>635</v>
      </c>
      <c r="P354" s="9" t="s">
        <v>28</v>
      </c>
      <c r="Q354" s="13"/>
      <c r="T354" s="8"/>
    </row>
    <row r="355" spans="1:20" s="9" customFormat="1" ht="27" customHeight="1" x14ac:dyDescent="0.3">
      <c r="A355" s="9">
        <v>341300758</v>
      </c>
      <c r="B355" s="9" t="s">
        <v>163</v>
      </c>
      <c r="C355" s="13">
        <v>45994</v>
      </c>
      <c r="D355" s="13">
        <v>45996</v>
      </c>
      <c r="E355" s="9" t="s">
        <v>21</v>
      </c>
      <c r="F355" s="9" t="s">
        <v>22</v>
      </c>
      <c r="G355" s="9" t="s">
        <v>1159</v>
      </c>
      <c r="H355" s="9" t="s">
        <v>1187</v>
      </c>
      <c r="I355" s="9" t="s">
        <v>1188</v>
      </c>
      <c r="J355" s="9" t="s">
        <v>235</v>
      </c>
      <c r="K355" s="14">
        <v>750</v>
      </c>
      <c r="L355" s="14">
        <v>882.9</v>
      </c>
      <c r="M355" s="26">
        <v>500</v>
      </c>
      <c r="N355" s="11">
        <f>(Table1[[#This Row],[NTE Approved ]]-Table1[[#This Row],[Cost]])/Table1[[#This Row],[Cost]]</f>
        <v>0.76579999999999993</v>
      </c>
      <c r="O355" s="29" t="s">
        <v>1189</v>
      </c>
      <c r="P355" s="9" t="s">
        <v>28</v>
      </c>
      <c r="Q355" s="13"/>
      <c r="T355" s="8"/>
    </row>
    <row r="356" spans="1:20" s="9" customFormat="1" ht="27" customHeight="1" x14ac:dyDescent="0.3">
      <c r="A356" s="9">
        <v>331237611</v>
      </c>
      <c r="B356" s="9" t="s">
        <v>91</v>
      </c>
      <c r="C356" s="13">
        <v>46071</v>
      </c>
      <c r="D356" s="13">
        <v>46071</v>
      </c>
      <c r="E356" s="9" t="s">
        <v>21</v>
      </c>
      <c r="F356" s="9" t="s">
        <v>59</v>
      </c>
      <c r="G356" s="9" t="s">
        <v>237</v>
      </c>
      <c r="H356" s="9" t="s">
        <v>1190</v>
      </c>
      <c r="I356" s="9" t="s">
        <v>1191</v>
      </c>
      <c r="J356" s="9" t="s">
        <v>216</v>
      </c>
      <c r="K356" s="14">
        <v>850</v>
      </c>
      <c r="L356" s="14">
        <v>790.73</v>
      </c>
      <c r="M356" s="14">
        <v>450</v>
      </c>
      <c r="N356" s="11">
        <f>(Table1[[#This Row],[NTE Approved ]]-Table1[[#This Row],[Cost]])/Table1[[#This Row],[Cost]]</f>
        <v>0.75717777777777784</v>
      </c>
      <c r="O356" s="9" t="s">
        <v>1192</v>
      </c>
      <c r="P356" s="9" t="s">
        <v>28</v>
      </c>
      <c r="Q356" s="13"/>
      <c r="T356" s="8"/>
    </row>
    <row r="357" spans="1:20" s="9" customFormat="1" ht="27" customHeight="1" x14ac:dyDescent="0.3">
      <c r="A357" s="9">
        <v>341748474</v>
      </c>
      <c r="B357" s="9" t="s">
        <v>29</v>
      </c>
      <c r="C357" s="13">
        <v>46072</v>
      </c>
      <c r="D357" s="13">
        <v>46073</v>
      </c>
      <c r="E357" s="9" t="s">
        <v>21</v>
      </c>
      <c r="F357" s="9" t="s">
        <v>759</v>
      </c>
      <c r="G357" s="9" t="s">
        <v>1174</v>
      </c>
      <c r="H357" s="9" t="s">
        <v>1193</v>
      </c>
      <c r="I357" s="9" t="s">
        <v>1194</v>
      </c>
      <c r="J357" s="9" t="s">
        <v>195</v>
      </c>
      <c r="K357" s="14">
        <v>450</v>
      </c>
      <c r="L357" s="14">
        <v>357.73</v>
      </c>
      <c r="M357" s="14">
        <v>145</v>
      </c>
      <c r="N357" s="11">
        <f>(Table1[[#This Row],[NTE Approved ]]-Table1[[#This Row],[Cost]])/Table1[[#This Row],[Cost]]</f>
        <v>1.4671034482758623</v>
      </c>
      <c r="O357" s="9" t="s">
        <v>1195</v>
      </c>
      <c r="P357" s="9" t="s">
        <v>28</v>
      </c>
      <c r="Q357" s="13"/>
      <c r="T357" s="8"/>
    </row>
    <row r="358" spans="1:20" s="9" customFormat="1" ht="27" customHeight="1" x14ac:dyDescent="0.3">
      <c r="A358" s="9">
        <v>341761434</v>
      </c>
      <c r="B358" s="9" t="s">
        <v>29</v>
      </c>
      <c r="C358" s="13">
        <v>46076</v>
      </c>
      <c r="D358" s="13">
        <v>46076</v>
      </c>
      <c r="E358" s="9" t="s">
        <v>21</v>
      </c>
      <c r="F358" s="9" t="s">
        <v>59</v>
      </c>
      <c r="G358" s="9" t="s">
        <v>60</v>
      </c>
      <c r="H358" s="9" t="s">
        <v>1196</v>
      </c>
      <c r="I358" s="9" t="s">
        <v>907</v>
      </c>
      <c r="J358" s="9" t="s">
        <v>199</v>
      </c>
      <c r="K358" s="14">
        <v>800</v>
      </c>
      <c r="L358" s="14">
        <v>324.81</v>
      </c>
      <c r="M358" s="14">
        <v>100</v>
      </c>
      <c r="N358" s="11">
        <f>(Table1[[#This Row],[NTE Approved ]]-Table1[[#This Row],[Cost]])/Table1[[#This Row],[Cost]]</f>
        <v>2.2481</v>
      </c>
      <c r="O358" s="9" t="s">
        <v>1197</v>
      </c>
      <c r="P358" s="9" t="s">
        <v>28</v>
      </c>
      <c r="Q358" s="13"/>
      <c r="T358" s="8"/>
    </row>
    <row r="359" spans="1:20" s="9" customFormat="1" ht="27" customHeight="1" x14ac:dyDescent="0.3">
      <c r="A359" s="9">
        <v>342073447</v>
      </c>
      <c r="B359" s="9" t="s">
        <v>29</v>
      </c>
      <c r="C359" s="13">
        <v>46048</v>
      </c>
      <c r="D359" s="13">
        <v>46048</v>
      </c>
      <c r="E359" s="9" t="s">
        <v>21</v>
      </c>
      <c r="F359" s="9" t="s">
        <v>45</v>
      </c>
      <c r="G359" s="9" t="s">
        <v>46</v>
      </c>
      <c r="H359" s="9" t="s">
        <v>1198</v>
      </c>
      <c r="I359" s="9" t="s">
        <v>1199</v>
      </c>
      <c r="J359" s="9" t="s">
        <v>311</v>
      </c>
      <c r="K359" s="14">
        <v>750</v>
      </c>
      <c r="L359" s="14">
        <v>953.94</v>
      </c>
      <c r="M359" s="14">
        <v>544.16999999999996</v>
      </c>
      <c r="N359" s="11">
        <f>(Table1[[#This Row],[NTE Approved ]]-Table1[[#This Row],[Cost]])/Table1[[#This Row],[Cost]]</f>
        <v>0.75301835823364049</v>
      </c>
      <c r="O359" s="9" t="s">
        <v>1200</v>
      </c>
      <c r="P359" s="9" t="s">
        <v>28</v>
      </c>
      <c r="Q359" s="13">
        <v>46049</v>
      </c>
      <c r="T359" s="8"/>
    </row>
    <row r="360" spans="1:20" s="9" customFormat="1" ht="27" customHeight="1" x14ac:dyDescent="0.3">
      <c r="A360" s="29">
        <v>338801046</v>
      </c>
      <c r="B360" s="21" t="s">
        <v>20</v>
      </c>
      <c r="C360" s="30">
        <v>46044</v>
      </c>
      <c r="D360" s="30">
        <v>46049</v>
      </c>
      <c r="E360" s="21" t="s">
        <v>21</v>
      </c>
      <c r="F360" s="21" t="s">
        <v>361</v>
      </c>
      <c r="G360" s="21" t="s">
        <v>367</v>
      </c>
      <c r="H360" s="21" t="s">
        <v>368</v>
      </c>
      <c r="I360" s="21" t="s">
        <v>369</v>
      </c>
      <c r="J360" s="21" t="s">
        <v>104</v>
      </c>
      <c r="K360" s="31">
        <v>250</v>
      </c>
      <c r="L360" s="31">
        <v>150</v>
      </c>
      <c r="M360" s="31">
        <v>50</v>
      </c>
      <c r="N360" s="11">
        <f>(Table1[[#This Row],[NTE Approved ]]-Table1[[#This Row],[Cost]])/Table1[[#This Row],[Cost]]</f>
        <v>2</v>
      </c>
      <c r="O360" s="21" t="s">
        <v>1201</v>
      </c>
      <c r="P360" s="21" t="s">
        <v>51</v>
      </c>
      <c r="Q360" s="30">
        <v>46055</v>
      </c>
      <c r="R360" s="21"/>
      <c r="S360" s="21"/>
      <c r="T360" s="8"/>
    </row>
    <row r="361" spans="1:20" s="9" customFormat="1" ht="27" customHeight="1" x14ac:dyDescent="0.3">
      <c r="A361" s="9">
        <v>338801046</v>
      </c>
      <c r="B361" s="9" t="s">
        <v>125</v>
      </c>
      <c r="C361" s="13">
        <v>46064</v>
      </c>
      <c r="D361" s="13">
        <v>46073</v>
      </c>
      <c r="E361" s="9" t="s">
        <v>21</v>
      </c>
      <c r="F361" s="9" t="s">
        <v>759</v>
      </c>
      <c r="G361" s="9" t="s">
        <v>1178</v>
      </c>
      <c r="H361" s="9" t="s">
        <v>1202</v>
      </c>
      <c r="I361" s="9" t="s">
        <v>1203</v>
      </c>
      <c r="J361" s="9" t="s">
        <v>63</v>
      </c>
      <c r="K361" s="14">
        <v>500</v>
      </c>
      <c r="L361" s="14">
        <v>150</v>
      </c>
      <c r="M361" s="14">
        <v>100</v>
      </c>
      <c r="N361" s="11">
        <f>(Table1[[#This Row],[NTE Approved ]]-Table1[[#This Row],[Cost]])/Table1[[#This Row],[Cost]]</f>
        <v>0.5</v>
      </c>
      <c r="O361" s="9" t="s">
        <v>1204</v>
      </c>
      <c r="P361" s="9" t="s">
        <v>51</v>
      </c>
      <c r="Q361" s="13">
        <v>46071</v>
      </c>
      <c r="T361" s="8"/>
    </row>
    <row r="362" spans="1:20" s="9" customFormat="1" ht="27" customHeight="1" x14ac:dyDescent="0.3">
      <c r="A362" s="9">
        <v>340653605</v>
      </c>
      <c r="B362" s="9" t="s">
        <v>125</v>
      </c>
      <c r="C362" s="13">
        <v>46057</v>
      </c>
      <c r="D362" s="13">
        <v>46058</v>
      </c>
      <c r="E362" s="9" t="s">
        <v>21</v>
      </c>
      <c r="F362" s="9" t="s">
        <v>45</v>
      </c>
      <c r="G362" s="9" t="s">
        <v>46</v>
      </c>
      <c r="H362" s="9" t="s">
        <v>1202</v>
      </c>
      <c r="I362" s="9" t="s">
        <v>1203</v>
      </c>
      <c r="J362" s="9" t="s">
        <v>63</v>
      </c>
      <c r="K362" s="14">
        <v>750</v>
      </c>
      <c r="L362" s="14">
        <v>241.31</v>
      </c>
      <c r="M362" s="14">
        <v>212</v>
      </c>
      <c r="N362" s="11">
        <f>(Table1[[#This Row],[NTE Approved ]]-Table1[[#This Row],[Cost]])/Table1[[#This Row],[Cost]]</f>
        <v>0.13825471698113209</v>
      </c>
      <c r="O362" s="9" t="s">
        <v>1205</v>
      </c>
      <c r="P362" s="9" t="s">
        <v>51</v>
      </c>
      <c r="Q362" s="13"/>
      <c r="T362" s="8"/>
    </row>
    <row r="363" spans="1:20" s="9" customFormat="1" ht="27" customHeight="1" x14ac:dyDescent="0.3">
      <c r="A363" s="9">
        <v>340426338</v>
      </c>
      <c r="B363" s="9" t="s">
        <v>295</v>
      </c>
      <c r="C363" s="13">
        <v>46031</v>
      </c>
      <c r="D363" s="13">
        <v>46037</v>
      </c>
      <c r="E363" s="9" t="s">
        <v>21</v>
      </c>
      <c r="F363" s="9" t="s">
        <v>38</v>
      </c>
      <c r="G363" s="9" t="s">
        <v>433</v>
      </c>
      <c r="H363" s="9" t="s">
        <v>299</v>
      </c>
      <c r="I363" s="9" t="s">
        <v>1206</v>
      </c>
      <c r="J363" s="9" t="s">
        <v>42</v>
      </c>
      <c r="K363" s="14">
        <v>550</v>
      </c>
      <c r="L363" s="26">
        <v>150</v>
      </c>
      <c r="M363" s="14"/>
      <c r="N363" s="11" t="e">
        <f>(Table1[[#This Row],[NTE Approved ]]-Table1[[#This Row],[Cost]])/Table1[[#This Row],[Cost]]</f>
        <v>#DIV/0!</v>
      </c>
      <c r="O363" s="9" t="s">
        <v>1207</v>
      </c>
      <c r="P363" s="9" t="s">
        <v>51</v>
      </c>
      <c r="Q363" s="13">
        <v>46050</v>
      </c>
      <c r="T363" s="8"/>
    </row>
    <row r="364" spans="1:20" s="9" customFormat="1" ht="27" customHeight="1" x14ac:dyDescent="0.3">
      <c r="A364" s="16">
        <v>337441247</v>
      </c>
      <c r="B364" s="9" t="s">
        <v>295</v>
      </c>
      <c r="C364" s="13">
        <v>46041</v>
      </c>
      <c r="D364" s="13">
        <v>46046</v>
      </c>
      <c r="E364" s="9" t="s">
        <v>21</v>
      </c>
      <c r="F364" s="9" t="s">
        <v>361</v>
      </c>
      <c r="G364" s="9" t="s">
        <v>367</v>
      </c>
      <c r="H364" s="9" t="s">
        <v>1208</v>
      </c>
      <c r="I364" s="9" t="s">
        <v>1209</v>
      </c>
      <c r="J364" s="9" t="s">
        <v>63</v>
      </c>
      <c r="K364" s="14">
        <v>550</v>
      </c>
      <c r="L364" s="14">
        <v>150</v>
      </c>
      <c r="M364" s="14"/>
      <c r="N364" s="11" t="e">
        <f>(Table1[[#This Row],[NTE Approved ]]-Table1[[#This Row],[Cost]])/Table1[[#This Row],[Cost]]</f>
        <v>#DIV/0!</v>
      </c>
      <c r="O364" s="9" t="s">
        <v>1210</v>
      </c>
      <c r="P364" s="9" t="s">
        <v>51</v>
      </c>
      <c r="Q364" s="13">
        <v>46050</v>
      </c>
      <c r="T364" s="8"/>
    </row>
    <row r="365" spans="1:20" s="9" customFormat="1" ht="27" customHeight="1" x14ac:dyDescent="0.3">
      <c r="A365" s="9">
        <v>338349550</v>
      </c>
      <c r="B365" s="9" t="s">
        <v>44</v>
      </c>
      <c r="C365" s="13">
        <v>46070</v>
      </c>
      <c r="D365" s="13">
        <v>46070</v>
      </c>
      <c r="E365" s="9" t="s">
        <v>21</v>
      </c>
      <c r="F365" s="9" t="s">
        <v>45</v>
      </c>
      <c r="G365" s="9" t="s">
        <v>46</v>
      </c>
      <c r="H365" s="9" t="s">
        <v>1211</v>
      </c>
      <c r="I365" s="9" t="s">
        <v>1212</v>
      </c>
      <c r="J365" s="9" t="s">
        <v>56</v>
      </c>
      <c r="K365" s="14">
        <v>750</v>
      </c>
      <c r="L365" s="14">
        <v>473.94</v>
      </c>
      <c r="M365" s="14">
        <v>250</v>
      </c>
      <c r="N365" s="11">
        <f>(Table1[[#This Row],[NTE Approved ]]-Table1[[#This Row],[Cost]])/Table1[[#This Row],[Cost]]</f>
        <v>0.89576</v>
      </c>
      <c r="O365" s="9" t="s">
        <v>1213</v>
      </c>
      <c r="P365" s="9" t="s">
        <v>28</v>
      </c>
      <c r="Q365" s="13"/>
      <c r="T365" s="8"/>
    </row>
    <row r="366" spans="1:20" s="9" customFormat="1" ht="27" customHeight="1" x14ac:dyDescent="0.3">
      <c r="A366" s="16">
        <v>341653509</v>
      </c>
      <c r="B366" s="9" t="s">
        <v>80</v>
      </c>
      <c r="C366" s="13">
        <v>46055</v>
      </c>
      <c r="D366" s="13">
        <v>46062</v>
      </c>
      <c r="E366" s="9" t="s">
        <v>21</v>
      </c>
      <c r="F366" s="9" t="s">
        <v>759</v>
      </c>
      <c r="G366" s="9" t="s">
        <v>1125</v>
      </c>
      <c r="H366" s="9" t="s">
        <v>1214</v>
      </c>
      <c r="I366" s="9" t="s">
        <v>1215</v>
      </c>
      <c r="J366" s="9" t="s">
        <v>771</v>
      </c>
      <c r="K366" s="14">
        <v>350</v>
      </c>
      <c r="L366" s="14">
        <v>150</v>
      </c>
      <c r="M366" s="14"/>
      <c r="N366" s="11" t="e">
        <f>(Table1[[#This Row],[NTE Approved ]]-Table1[[#This Row],[Cost]])/Table1[[#This Row],[Cost]]</f>
        <v>#DIV/0!</v>
      </c>
      <c r="O366" s="9" t="s">
        <v>1216</v>
      </c>
      <c r="P366" s="9" t="s">
        <v>51</v>
      </c>
      <c r="Q366" s="13">
        <v>46071</v>
      </c>
      <c r="T366" s="8"/>
    </row>
    <row r="367" spans="1:20" s="9" customFormat="1" ht="27" customHeight="1" x14ac:dyDescent="0.3">
      <c r="A367" s="29">
        <v>339857661</v>
      </c>
      <c r="B367" s="9" t="s">
        <v>1217</v>
      </c>
      <c r="C367" s="13">
        <v>46072</v>
      </c>
      <c r="D367" s="13">
        <v>46074</v>
      </c>
      <c r="E367" s="9" t="s">
        <v>21</v>
      </c>
      <c r="F367" s="9" t="s">
        <v>22</v>
      </c>
      <c r="G367" s="9" t="s">
        <v>466</v>
      </c>
      <c r="H367" s="9" t="s">
        <v>1218</v>
      </c>
      <c r="I367" s="9" t="s">
        <v>1219</v>
      </c>
      <c r="J367" s="9" t="s">
        <v>49</v>
      </c>
      <c r="K367" s="14">
        <v>250</v>
      </c>
      <c r="L367" s="14">
        <v>245.03</v>
      </c>
      <c r="M367" s="14">
        <v>140</v>
      </c>
      <c r="N367" s="11">
        <f>(Table1[[#This Row],[NTE Approved ]]-Table1[[#This Row],[Cost]])/Table1[[#This Row],[Cost]]</f>
        <v>0.75021428571428572</v>
      </c>
      <c r="O367" s="9" t="s">
        <v>1220</v>
      </c>
      <c r="P367" s="9" t="s">
        <v>28</v>
      </c>
      <c r="Q367" s="13"/>
      <c r="T367" s="8"/>
    </row>
    <row r="368" spans="1:20" s="9" customFormat="1" ht="27" customHeight="1" x14ac:dyDescent="0.3">
      <c r="A368" s="9">
        <v>341567052</v>
      </c>
      <c r="B368" s="9" t="s">
        <v>44</v>
      </c>
      <c r="C368" s="13">
        <v>46077</v>
      </c>
      <c r="D368" s="13">
        <v>46077</v>
      </c>
      <c r="E368" s="9" t="s">
        <v>21</v>
      </c>
      <c r="F368" s="9" t="s">
        <v>59</v>
      </c>
      <c r="G368" s="9" t="s">
        <v>1221</v>
      </c>
      <c r="H368" s="9" t="s">
        <v>1222</v>
      </c>
      <c r="I368" s="9" t="s">
        <v>1223</v>
      </c>
      <c r="J368" s="9" t="s">
        <v>227</v>
      </c>
      <c r="K368" s="26">
        <v>700</v>
      </c>
      <c r="L368" s="14">
        <v>531.21</v>
      </c>
      <c r="M368" s="14">
        <v>300</v>
      </c>
      <c r="N368" s="11">
        <f>(Table1[[#This Row],[NTE Approved ]]-Table1[[#This Row],[Cost]])/Table1[[#This Row],[Cost]]</f>
        <v>0.77070000000000016</v>
      </c>
      <c r="O368" s="9" t="s">
        <v>1224</v>
      </c>
      <c r="P368" s="9" t="s">
        <v>28</v>
      </c>
      <c r="Q368" s="13"/>
      <c r="T368" s="8"/>
    </row>
    <row r="369" spans="1:20" s="9" customFormat="1" ht="27" customHeight="1" x14ac:dyDescent="0.3">
      <c r="A369" s="9">
        <v>342418047</v>
      </c>
      <c r="B369" s="9" t="s">
        <v>29</v>
      </c>
      <c r="C369" s="13">
        <v>46062</v>
      </c>
      <c r="D369" s="13">
        <v>46064</v>
      </c>
      <c r="E369" s="9" t="s">
        <v>739</v>
      </c>
      <c r="F369" s="9" t="s">
        <v>22</v>
      </c>
      <c r="G369" s="9" t="s">
        <v>740</v>
      </c>
      <c r="H369" s="33" t="s">
        <v>1225</v>
      </c>
      <c r="I369" s="9" t="s">
        <v>1226</v>
      </c>
      <c r="J369" s="9" t="s">
        <v>339</v>
      </c>
      <c r="K369" s="14">
        <v>265</v>
      </c>
      <c r="L369" s="14">
        <v>265</v>
      </c>
      <c r="M369" s="14">
        <v>100</v>
      </c>
      <c r="N369" s="11">
        <f>(Table1[[#This Row],[NTE Approved ]]-Table1[[#This Row],[Cost]])/Table1[[#This Row],[Cost]]</f>
        <v>1.65</v>
      </c>
      <c r="O369" s="9" t="s">
        <v>743</v>
      </c>
      <c r="P369" s="9" t="s">
        <v>51</v>
      </c>
      <c r="Q369" s="13"/>
      <c r="T369" s="8"/>
    </row>
    <row r="370" spans="1:20" s="9" customFormat="1" ht="27" customHeight="1" x14ac:dyDescent="0.3">
      <c r="A370" s="34">
        <v>126465</v>
      </c>
      <c r="B370" s="9" t="s">
        <v>20</v>
      </c>
      <c r="C370" s="13">
        <v>46071</v>
      </c>
      <c r="D370" s="13">
        <v>46077</v>
      </c>
      <c r="E370" s="9" t="s">
        <v>21</v>
      </c>
      <c r="F370" s="9" t="s">
        <v>22</v>
      </c>
      <c r="G370" s="9" t="s">
        <v>224</v>
      </c>
      <c r="H370" s="9" t="s">
        <v>1227</v>
      </c>
      <c r="I370" s="9" t="s">
        <v>1228</v>
      </c>
      <c r="J370" s="9" t="s">
        <v>1146</v>
      </c>
      <c r="K370" s="14">
        <v>1500</v>
      </c>
      <c r="L370" s="14">
        <v>170</v>
      </c>
      <c r="M370" s="14">
        <v>125</v>
      </c>
      <c r="N370" s="11">
        <f>(Table1[[#This Row],[NTE Approved ]]-Table1[[#This Row],[Cost]])/Table1[[#This Row],[Cost]]</f>
        <v>0.36</v>
      </c>
      <c r="O370" s="9" t="s">
        <v>1229</v>
      </c>
      <c r="P370" s="9" t="s">
        <v>51</v>
      </c>
      <c r="Q370" s="13"/>
      <c r="T370" s="8"/>
    </row>
    <row r="371" spans="1:20" s="9" customFormat="1" ht="27" customHeight="1" x14ac:dyDescent="0.3">
      <c r="A371" s="9">
        <v>341671122</v>
      </c>
      <c r="B371" s="9" t="s">
        <v>73</v>
      </c>
      <c r="C371" s="13">
        <v>46065</v>
      </c>
      <c r="D371" s="13">
        <v>46065</v>
      </c>
      <c r="E371" s="9" t="s">
        <v>21</v>
      </c>
      <c r="F371" s="9" t="s">
        <v>59</v>
      </c>
      <c r="G371" s="9" t="s">
        <v>116</v>
      </c>
      <c r="H371" s="9" t="s">
        <v>1230</v>
      </c>
      <c r="I371" s="9" t="s">
        <v>907</v>
      </c>
      <c r="J371" s="9" t="s">
        <v>199</v>
      </c>
      <c r="K371" s="14">
        <v>750</v>
      </c>
      <c r="L371" s="14">
        <v>1247.71</v>
      </c>
      <c r="M371" s="14">
        <v>700</v>
      </c>
      <c r="N371" s="11">
        <f>(Table1[[#This Row],[NTE Approved ]]-Table1[[#This Row],[Cost]])/Table1[[#This Row],[Cost]]</f>
        <v>0.78244285714285722</v>
      </c>
      <c r="O371" s="9" t="s">
        <v>1231</v>
      </c>
      <c r="P371" s="9" t="s">
        <v>28</v>
      </c>
      <c r="Q371" s="13"/>
      <c r="T371" s="8"/>
    </row>
    <row r="372" spans="1:20" s="9" customFormat="1" ht="27" customHeight="1" x14ac:dyDescent="0.3">
      <c r="A372" s="9">
        <v>341201233</v>
      </c>
      <c r="B372" s="9" t="s">
        <v>73</v>
      </c>
      <c r="C372" s="13">
        <v>46062</v>
      </c>
      <c r="D372" s="13">
        <v>46064</v>
      </c>
      <c r="E372" s="9" t="s">
        <v>739</v>
      </c>
      <c r="F372" s="9" t="s">
        <v>22</v>
      </c>
      <c r="G372" s="9" t="s">
        <v>740</v>
      </c>
      <c r="H372" s="9" t="s">
        <v>1232</v>
      </c>
      <c r="I372" s="9" t="s">
        <v>1233</v>
      </c>
      <c r="J372" s="9" t="s">
        <v>49</v>
      </c>
      <c r="K372" s="14">
        <v>265</v>
      </c>
      <c r="L372" s="14">
        <v>262.5</v>
      </c>
      <c r="M372" s="14">
        <v>150</v>
      </c>
      <c r="N372" s="11">
        <f>(Table1[[#This Row],[NTE Approved ]]-Table1[[#This Row],[Cost]])/Table1[[#This Row],[Cost]]</f>
        <v>0.75</v>
      </c>
      <c r="O372" s="29" t="s">
        <v>743</v>
      </c>
      <c r="P372" s="9" t="s">
        <v>51</v>
      </c>
      <c r="Q372" s="13"/>
      <c r="T372" s="8"/>
    </row>
    <row r="373" spans="1:20" s="9" customFormat="1" ht="27" customHeight="1" x14ac:dyDescent="0.3">
      <c r="A373" s="9">
        <v>126572</v>
      </c>
      <c r="B373" s="9" t="s">
        <v>1120</v>
      </c>
      <c r="C373" s="13">
        <v>46071</v>
      </c>
      <c r="D373" s="13">
        <v>46072</v>
      </c>
      <c r="E373" s="9" t="s">
        <v>21</v>
      </c>
      <c r="F373" s="9" t="s">
        <v>59</v>
      </c>
      <c r="G373" s="9" t="s">
        <v>617</v>
      </c>
      <c r="H373" s="9" t="s">
        <v>1234</v>
      </c>
      <c r="I373" s="9" t="s">
        <v>1235</v>
      </c>
      <c r="J373" s="9" t="s">
        <v>26</v>
      </c>
      <c r="K373" s="14">
        <v>700</v>
      </c>
      <c r="L373" s="14">
        <v>283.5</v>
      </c>
      <c r="M373" s="14">
        <v>150</v>
      </c>
      <c r="N373" s="11">
        <f>(Table1[[#This Row],[NTE Approved ]]-Table1[[#This Row],[Cost]])/Table1[[#This Row],[Cost]]</f>
        <v>0.89</v>
      </c>
      <c r="O373" s="16" t="s">
        <v>1236</v>
      </c>
      <c r="P373" s="9" t="s">
        <v>28</v>
      </c>
      <c r="Q373" s="13"/>
      <c r="T373" s="8"/>
    </row>
    <row r="374" spans="1:20" s="9" customFormat="1" ht="27" customHeight="1" x14ac:dyDescent="0.3">
      <c r="A374" s="9">
        <v>341714727</v>
      </c>
      <c r="B374" s="9" t="s">
        <v>73</v>
      </c>
      <c r="C374" s="13">
        <v>46055</v>
      </c>
      <c r="D374" s="13">
        <v>46057</v>
      </c>
      <c r="E374" s="9" t="s">
        <v>21</v>
      </c>
      <c r="F374" s="9" t="s">
        <v>22</v>
      </c>
      <c r="G374" s="9" t="s">
        <v>466</v>
      </c>
      <c r="H374" s="9" t="s">
        <v>997</v>
      </c>
      <c r="I374" s="9" t="s">
        <v>1237</v>
      </c>
      <c r="J374" s="9" t="s">
        <v>195</v>
      </c>
      <c r="K374" s="14">
        <v>750</v>
      </c>
      <c r="L374" s="14">
        <v>739.82</v>
      </c>
      <c r="M374" s="14">
        <v>475</v>
      </c>
      <c r="N374" s="11">
        <f>(Table1[[#This Row],[NTE Approved ]]-Table1[[#This Row],[Cost]])/Table1[[#This Row],[Cost]]</f>
        <v>0.5575157894736843</v>
      </c>
      <c r="O374" s="9" t="s">
        <v>1238</v>
      </c>
      <c r="P374" s="9" t="s">
        <v>28</v>
      </c>
      <c r="Q374" s="13"/>
      <c r="T374" s="8"/>
    </row>
    <row r="375" spans="1:20" s="9" customFormat="1" ht="27" customHeight="1" x14ac:dyDescent="0.3">
      <c r="A375" s="9">
        <v>336400230</v>
      </c>
      <c r="B375" s="9" t="s">
        <v>1217</v>
      </c>
      <c r="C375" s="13">
        <v>46072</v>
      </c>
      <c r="D375" s="13">
        <v>46073</v>
      </c>
      <c r="E375" s="9" t="s">
        <v>21</v>
      </c>
      <c r="F375" s="9" t="s">
        <v>22</v>
      </c>
      <c r="G375" s="9" t="s">
        <v>92</v>
      </c>
      <c r="H375" s="9" t="s">
        <v>1239</v>
      </c>
      <c r="I375" s="9" t="s">
        <v>1240</v>
      </c>
      <c r="J375" s="9" t="s">
        <v>26</v>
      </c>
      <c r="K375" s="14">
        <v>750</v>
      </c>
      <c r="L375" s="14">
        <v>280.88</v>
      </c>
      <c r="M375" s="14">
        <v>225</v>
      </c>
      <c r="N375" s="11">
        <f>(Table1[[#This Row],[NTE Approved ]]-Table1[[#This Row],[Cost]])/Table1[[#This Row],[Cost]]</f>
        <v>0.24835555555555552</v>
      </c>
      <c r="O375" s="9" t="s">
        <v>1241</v>
      </c>
      <c r="P375" s="9" t="s">
        <v>28</v>
      </c>
      <c r="Q375" s="13"/>
      <c r="T375" s="8"/>
    </row>
    <row r="376" spans="1:20" s="9" customFormat="1" ht="27" customHeight="1" x14ac:dyDescent="0.3">
      <c r="A376" s="9">
        <v>340949584</v>
      </c>
      <c r="B376" s="9" t="s">
        <v>73</v>
      </c>
      <c r="C376" s="13">
        <v>46062</v>
      </c>
      <c r="D376" s="13">
        <v>46062</v>
      </c>
      <c r="E376" s="9" t="s">
        <v>21</v>
      </c>
      <c r="F376" s="9" t="s">
        <v>59</v>
      </c>
      <c r="G376" s="9" t="s">
        <v>237</v>
      </c>
      <c r="H376" s="9" t="s">
        <v>1242</v>
      </c>
      <c r="I376" s="9" t="s">
        <v>1243</v>
      </c>
      <c r="J376" s="9" t="s">
        <v>235</v>
      </c>
      <c r="K376" s="14">
        <v>800</v>
      </c>
      <c r="L376" s="14">
        <v>877.5</v>
      </c>
      <c r="M376" s="14">
        <v>475</v>
      </c>
      <c r="N376" s="11">
        <f>(Table1[[#This Row],[NTE Approved ]]-Table1[[#This Row],[Cost]])/Table1[[#This Row],[Cost]]</f>
        <v>0.84736842105263155</v>
      </c>
      <c r="O376" s="9" t="s">
        <v>1244</v>
      </c>
      <c r="P376" s="9" t="s">
        <v>28</v>
      </c>
      <c r="Q376" s="13"/>
      <c r="T376" s="8"/>
    </row>
    <row r="377" spans="1:20" s="9" customFormat="1" ht="27" customHeight="1" x14ac:dyDescent="0.3">
      <c r="A377" s="9">
        <v>340884005</v>
      </c>
      <c r="B377" s="9" t="s">
        <v>73</v>
      </c>
      <c r="C377" s="13">
        <v>46055</v>
      </c>
      <c r="D377" s="13">
        <v>46055</v>
      </c>
      <c r="E377" s="9" t="s">
        <v>21</v>
      </c>
      <c r="F377" s="9" t="s">
        <v>59</v>
      </c>
      <c r="G377" s="9" t="s">
        <v>237</v>
      </c>
      <c r="H377" s="9" t="s">
        <v>1245</v>
      </c>
      <c r="I377" s="9" t="s">
        <v>1246</v>
      </c>
      <c r="J377" s="9" t="s">
        <v>216</v>
      </c>
      <c r="K377" s="14">
        <v>800</v>
      </c>
      <c r="L377" s="14">
        <v>364.5</v>
      </c>
      <c r="M377" s="26">
        <v>125</v>
      </c>
      <c r="N377" s="11">
        <f>(Table1[[#This Row],[NTE Approved ]]-Table1[[#This Row],[Cost]])/Table1[[#This Row],[Cost]]</f>
        <v>1.9159999999999999</v>
      </c>
      <c r="O377" s="9" t="s">
        <v>1247</v>
      </c>
      <c r="P377" s="9" t="s">
        <v>28</v>
      </c>
      <c r="Q377" s="13"/>
      <c r="T377" s="8"/>
    </row>
    <row r="378" spans="1:20" s="9" customFormat="1" ht="27" customHeight="1" x14ac:dyDescent="0.3">
      <c r="A378" s="9">
        <v>339852822</v>
      </c>
      <c r="B378" s="9" t="s">
        <v>80</v>
      </c>
      <c r="C378" s="13">
        <v>46069</v>
      </c>
      <c r="D378" s="13">
        <v>46078</v>
      </c>
      <c r="E378" s="9" t="s">
        <v>21</v>
      </c>
      <c r="F378" s="9" t="s">
        <v>22</v>
      </c>
      <c r="G378" s="9" t="s">
        <v>92</v>
      </c>
      <c r="H378" s="9" t="s">
        <v>590</v>
      </c>
      <c r="I378" s="9" t="s">
        <v>591</v>
      </c>
      <c r="J378" s="9" t="s">
        <v>195</v>
      </c>
      <c r="K378" s="14">
        <v>750</v>
      </c>
      <c r="L378" s="14">
        <v>619.59</v>
      </c>
      <c r="M378" s="14">
        <v>271.5</v>
      </c>
      <c r="N378" s="11">
        <f>(Table1[[#This Row],[NTE Approved ]]-Table1[[#This Row],[Cost]])/Table1[[#This Row],[Cost]]</f>
        <v>1.2820994475138123</v>
      </c>
      <c r="O378" s="9" t="s">
        <v>1248</v>
      </c>
      <c r="P378" s="9" t="s">
        <v>28</v>
      </c>
      <c r="Q378" s="13"/>
      <c r="T378" s="8"/>
    </row>
    <row r="379" spans="1:20" s="9" customFormat="1" ht="27" customHeight="1" x14ac:dyDescent="0.3">
      <c r="A379" s="9">
        <v>341580872</v>
      </c>
      <c r="B379" s="9" t="s">
        <v>80</v>
      </c>
      <c r="C379" s="13">
        <v>46072</v>
      </c>
      <c r="D379" s="13">
        <v>46077</v>
      </c>
      <c r="E379" s="9" t="s">
        <v>21</v>
      </c>
      <c r="F379" s="9" t="s">
        <v>22</v>
      </c>
      <c r="G379" s="9" t="s">
        <v>466</v>
      </c>
      <c r="H379" s="9" t="s">
        <v>929</v>
      </c>
      <c r="I379" s="9" t="s">
        <v>930</v>
      </c>
      <c r="J379" s="9" t="s">
        <v>49</v>
      </c>
      <c r="K379" s="14">
        <v>250</v>
      </c>
      <c r="L379" s="14">
        <v>245.82</v>
      </c>
      <c r="M379" s="14">
        <v>85</v>
      </c>
      <c r="N379" s="11">
        <f>(Table1[[#This Row],[NTE Approved ]]-Table1[[#This Row],[Cost]])/Table1[[#This Row],[Cost]]</f>
        <v>1.8919999999999999</v>
      </c>
      <c r="O379" s="9" t="s">
        <v>1249</v>
      </c>
      <c r="P379" s="9" t="s">
        <v>28</v>
      </c>
      <c r="Q379" s="13"/>
      <c r="T379" s="8"/>
    </row>
    <row r="380" spans="1:20" s="9" customFormat="1" ht="27" customHeight="1" x14ac:dyDescent="0.3">
      <c r="A380" s="9">
        <v>341188395</v>
      </c>
      <c r="B380" s="9" t="s">
        <v>80</v>
      </c>
      <c r="C380" s="13">
        <v>46064</v>
      </c>
      <c r="D380" s="13">
        <v>46072</v>
      </c>
      <c r="E380" s="9" t="s">
        <v>21</v>
      </c>
      <c r="F380" s="9" t="s">
        <v>59</v>
      </c>
      <c r="G380" s="32" t="s">
        <v>138</v>
      </c>
      <c r="H380" s="9" t="s">
        <v>1250</v>
      </c>
      <c r="I380" s="9" t="s">
        <v>1251</v>
      </c>
      <c r="J380" s="9" t="s">
        <v>63</v>
      </c>
      <c r="K380" s="14">
        <v>800</v>
      </c>
      <c r="L380" s="14">
        <v>225</v>
      </c>
      <c r="M380" s="14"/>
      <c r="N380" s="11" t="e">
        <f>(Table1[[#This Row],[NTE Approved ]]-Table1[[#This Row],[Cost]])/Table1[[#This Row],[Cost]]</f>
        <v>#DIV/0!</v>
      </c>
      <c r="O380" s="9" t="s">
        <v>1252</v>
      </c>
      <c r="P380" s="9" t="s">
        <v>162</v>
      </c>
      <c r="Q380" s="13"/>
      <c r="T380" s="8"/>
    </row>
    <row r="381" spans="1:20" s="9" customFormat="1" ht="27" customHeight="1" x14ac:dyDescent="0.3">
      <c r="A381" s="9">
        <v>341078952</v>
      </c>
      <c r="B381" s="9" t="s">
        <v>91</v>
      </c>
      <c r="C381" s="13">
        <v>46072</v>
      </c>
      <c r="D381" s="13">
        <v>46073</v>
      </c>
      <c r="E381" s="9" t="s">
        <v>21</v>
      </c>
      <c r="F381" s="9" t="s">
        <v>59</v>
      </c>
      <c r="G381" s="9" t="s">
        <v>138</v>
      </c>
      <c r="H381" s="9" t="s">
        <v>1253</v>
      </c>
      <c r="I381" s="9" t="s">
        <v>1254</v>
      </c>
      <c r="J381" s="9" t="s">
        <v>195</v>
      </c>
      <c r="K381" s="14"/>
      <c r="L381" s="14"/>
      <c r="M381" s="14"/>
      <c r="N381" s="11" t="e">
        <f>(Table1[[#This Row],[NTE Approved ]]-Table1[[#This Row],[Cost]])/Table1[[#This Row],[Cost]]</f>
        <v>#DIV/0!</v>
      </c>
      <c r="O381" s="9" t="s">
        <v>1255</v>
      </c>
      <c r="P381" s="9" t="s">
        <v>162</v>
      </c>
      <c r="Q381" s="13"/>
      <c r="T381" s="8"/>
    </row>
    <row r="382" spans="1:20" s="9" customFormat="1" ht="27" customHeight="1" x14ac:dyDescent="0.3">
      <c r="A382" s="9">
        <v>341866133</v>
      </c>
      <c r="B382" s="9" t="s">
        <v>73</v>
      </c>
      <c r="C382" s="13">
        <v>46055</v>
      </c>
      <c r="D382" s="13">
        <v>46055</v>
      </c>
      <c r="E382" s="9" t="s">
        <v>21</v>
      </c>
      <c r="F382" s="9" t="s">
        <v>59</v>
      </c>
      <c r="G382" s="9" t="s">
        <v>138</v>
      </c>
      <c r="H382" s="9" t="s">
        <v>440</v>
      </c>
      <c r="I382" s="9" t="s">
        <v>1256</v>
      </c>
      <c r="J382" s="9" t="s">
        <v>63</v>
      </c>
      <c r="K382" s="14">
        <v>550</v>
      </c>
      <c r="L382" s="14">
        <v>361.13</v>
      </c>
      <c r="M382" s="14">
        <v>82.66</v>
      </c>
      <c r="N382" s="11">
        <f>(Table1[[#This Row],[NTE Approved ]]-Table1[[#This Row],[Cost]])/Table1[[#This Row],[Cost]]</f>
        <v>3.3688603919670945</v>
      </c>
      <c r="O382" s="9" t="s">
        <v>1257</v>
      </c>
      <c r="P382" s="9" t="s">
        <v>28</v>
      </c>
      <c r="Q382" s="13"/>
      <c r="T382" s="8"/>
    </row>
    <row r="383" spans="1:20" s="9" customFormat="1" ht="27" customHeight="1" x14ac:dyDescent="0.3">
      <c r="A383" s="9">
        <v>340143310</v>
      </c>
      <c r="B383" s="9" t="s">
        <v>20</v>
      </c>
      <c r="C383" s="13">
        <v>46063</v>
      </c>
      <c r="D383" s="13">
        <v>46065</v>
      </c>
      <c r="E383" s="9" t="s">
        <v>21</v>
      </c>
      <c r="F383" s="9" t="s">
        <v>59</v>
      </c>
      <c r="G383" s="9" t="s">
        <v>1258</v>
      </c>
      <c r="H383" s="9" t="s">
        <v>1020</v>
      </c>
      <c r="I383" s="9" t="s">
        <v>1021</v>
      </c>
      <c r="J383" s="9" t="s">
        <v>290</v>
      </c>
      <c r="K383" s="14">
        <v>550</v>
      </c>
      <c r="L383" s="14">
        <v>708.44</v>
      </c>
      <c r="M383" s="14">
        <v>400</v>
      </c>
      <c r="N383" s="11">
        <f>(Table1[[#This Row],[NTE Approved ]]-Table1[[#This Row],[Cost]])/Table1[[#This Row],[Cost]]</f>
        <v>0.77110000000000012</v>
      </c>
      <c r="O383" s="9" t="s">
        <v>1259</v>
      </c>
      <c r="P383" s="9" t="s">
        <v>28</v>
      </c>
      <c r="Q383" s="13"/>
      <c r="T383" s="8"/>
    </row>
    <row r="384" spans="1:20" s="9" customFormat="1" ht="27" customHeight="1" x14ac:dyDescent="0.3">
      <c r="A384" s="9">
        <v>340966324</v>
      </c>
      <c r="B384" s="9" t="s">
        <v>20</v>
      </c>
      <c r="C384" s="13">
        <v>46069</v>
      </c>
      <c r="D384" s="13">
        <v>46069</v>
      </c>
      <c r="E384" s="9" t="s">
        <v>21</v>
      </c>
      <c r="F384" s="9" t="s">
        <v>22</v>
      </c>
      <c r="G384" s="9" t="s">
        <v>1260</v>
      </c>
      <c r="H384" s="9" t="s">
        <v>135</v>
      </c>
      <c r="I384" s="9" t="s">
        <v>136</v>
      </c>
      <c r="J384" s="9" t="s">
        <v>63</v>
      </c>
      <c r="K384" s="14">
        <v>750</v>
      </c>
      <c r="L384" s="14">
        <v>471.7</v>
      </c>
      <c r="M384" s="14">
        <v>250</v>
      </c>
      <c r="N384" s="11">
        <f>(Table1[[#This Row],[NTE Approved ]]-Table1[[#This Row],[Cost]])/Table1[[#This Row],[Cost]]</f>
        <v>0.88679999999999992</v>
      </c>
      <c r="O384" s="9" t="s">
        <v>1261</v>
      </c>
      <c r="P384" s="9" t="s">
        <v>28</v>
      </c>
      <c r="Q384" s="13"/>
      <c r="T384" s="8"/>
    </row>
    <row r="385" spans="1:20" s="9" customFormat="1" ht="27" customHeight="1" x14ac:dyDescent="0.3">
      <c r="A385" s="9">
        <v>341429176</v>
      </c>
      <c r="B385" s="9" t="s">
        <v>20</v>
      </c>
      <c r="C385" s="13">
        <v>46070</v>
      </c>
      <c r="D385" s="13">
        <v>46070</v>
      </c>
      <c r="E385" s="9" t="s">
        <v>21</v>
      </c>
      <c r="F385" s="9" t="s">
        <v>59</v>
      </c>
      <c r="G385" s="9" t="s">
        <v>1262</v>
      </c>
      <c r="H385" s="9" t="s">
        <v>1263</v>
      </c>
      <c r="I385" s="9" t="s">
        <v>654</v>
      </c>
      <c r="J385" s="9" t="s">
        <v>56</v>
      </c>
      <c r="K385" s="14">
        <v>350</v>
      </c>
      <c r="L385" s="14">
        <v>1431</v>
      </c>
      <c r="M385" s="14">
        <v>690</v>
      </c>
      <c r="N385" s="11">
        <f>(Table1[[#This Row],[NTE Approved ]]-Table1[[#This Row],[Cost]])/Table1[[#This Row],[Cost]]</f>
        <v>1.0739130434782609</v>
      </c>
      <c r="O385" s="9" t="s">
        <v>1264</v>
      </c>
      <c r="P385" s="9" t="s">
        <v>28</v>
      </c>
      <c r="Q385" s="13"/>
      <c r="T385" s="8"/>
    </row>
    <row r="386" spans="1:20" s="9" customFormat="1" ht="27" customHeight="1" x14ac:dyDescent="0.3">
      <c r="A386" s="9">
        <v>341620966</v>
      </c>
      <c r="B386" s="9" t="s">
        <v>20</v>
      </c>
      <c r="C386" s="13">
        <v>46065</v>
      </c>
      <c r="D386" s="13">
        <v>46070</v>
      </c>
      <c r="E386" s="9" t="s">
        <v>21</v>
      </c>
      <c r="F386" s="9" t="s">
        <v>38</v>
      </c>
      <c r="G386" s="9" t="s">
        <v>433</v>
      </c>
      <c r="H386" s="9" t="s">
        <v>1263</v>
      </c>
      <c r="I386" s="9" t="s">
        <v>654</v>
      </c>
      <c r="J386" s="9" t="s">
        <v>56</v>
      </c>
      <c r="K386" s="14">
        <v>550</v>
      </c>
      <c r="L386" s="14">
        <v>999.17</v>
      </c>
      <c r="M386" s="14">
        <v>550</v>
      </c>
      <c r="N386" s="11">
        <f>(Table1[[#This Row],[NTE Approved ]]-Table1[[#This Row],[Cost]])/Table1[[#This Row],[Cost]]</f>
        <v>0.81667272727272722</v>
      </c>
      <c r="O386" s="9" t="s">
        <v>1265</v>
      </c>
      <c r="P386" s="9" t="s">
        <v>28</v>
      </c>
      <c r="Q386" s="13"/>
      <c r="T386" s="8"/>
    </row>
    <row r="387" spans="1:20" s="9" customFormat="1" ht="27" customHeight="1" x14ac:dyDescent="0.3">
      <c r="A387" s="9">
        <v>338121146</v>
      </c>
      <c r="B387" s="9" t="s">
        <v>20</v>
      </c>
      <c r="C387" s="13">
        <v>46069</v>
      </c>
      <c r="D387" s="13">
        <v>46069</v>
      </c>
      <c r="E387" s="9" t="s">
        <v>21</v>
      </c>
      <c r="F387" s="9" t="s">
        <v>59</v>
      </c>
      <c r="G387" s="9" t="s">
        <v>138</v>
      </c>
      <c r="H387" s="9" t="s">
        <v>1266</v>
      </c>
      <c r="I387" s="9" t="s">
        <v>1267</v>
      </c>
      <c r="J387" s="9" t="s">
        <v>206</v>
      </c>
      <c r="K387" s="14">
        <v>650</v>
      </c>
      <c r="L387" s="14">
        <v>815.49</v>
      </c>
      <c r="M387" s="14">
        <v>460</v>
      </c>
      <c r="N387" s="11">
        <f>(Table1[[#This Row],[NTE Approved ]]-Table1[[#This Row],[Cost]])/Table1[[#This Row],[Cost]]</f>
        <v>0.77280434782608698</v>
      </c>
      <c r="O387" s="9" t="s">
        <v>1268</v>
      </c>
      <c r="P387" s="9" t="s">
        <v>28</v>
      </c>
      <c r="Q387" s="13"/>
      <c r="T387" s="8"/>
    </row>
    <row r="388" spans="1:20" s="9" customFormat="1" ht="27" customHeight="1" x14ac:dyDescent="0.3">
      <c r="A388" s="9">
        <v>341327976</v>
      </c>
      <c r="B388" s="9" t="s">
        <v>20</v>
      </c>
      <c r="C388" s="13">
        <v>46072</v>
      </c>
      <c r="D388" s="13">
        <v>46072</v>
      </c>
      <c r="E388" s="9" t="s">
        <v>21</v>
      </c>
      <c r="F388" s="9" t="s">
        <v>59</v>
      </c>
      <c r="G388" s="9" t="s">
        <v>725</v>
      </c>
      <c r="H388" s="9" t="s">
        <v>1269</v>
      </c>
      <c r="I388" s="9" t="s">
        <v>1270</v>
      </c>
      <c r="J388" s="9" t="s">
        <v>206</v>
      </c>
      <c r="K388" s="14">
        <v>750</v>
      </c>
      <c r="L388" s="14">
        <v>648</v>
      </c>
      <c r="M388" s="14">
        <v>425</v>
      </c>
      <c r="N388" s="11">
        <f>(Table1[[#This Row],[NTE Approved ]]-Table1[[#This Row],[Cost]])/Table1[[#This Row],[Cost]]</f>
        <v>0.52470588235294113</v>
      </c>
      <c r="O388" s="9" t="s">
        <v>1271</v>
      </c>
      <c r="P388" s="9" t="s">
        <v>28</v>
      </c>
      <c r="Q388" s="13"/>
      <c r="T388" s="8"/>
    </row>
    <row r="389" spans="1:20" s="9" customFormat="1" ht="27" customHeight="1" x14ac:dyDescent="0.3">
      <c r="A389" s="9">
        <v>341754036</v>
      </c>
      <c r="B389" s="9" t="s">
        <v>20</v>
      </c>
      <c r="C389" s="13">
        <v>46066</v>
      </c>
      <c r="D389" s="13">
        <v>46071</v>
      </c>
      <c r="E389" s="9" t="s">
        <v>21</v>
      </c>
      <c r="F389" s="9" t="s">
        <v>38</v>
      </c>
      <c r="G389" s="9" t="s">
        <v>433</v>
      </c>
      <c r="H389" s="9" t="s">
        <v>1272</v>
      </c>
      <c r="I389" s="9" t="s">
        <v>1273</v>
      </c>
      <c r="J389" s="9" t="s">
        <v>216</v>
      </c>
      <c r="K389" s="14">
        <v>250</v>
      </c>
      <c r="L389" s="14">
        <v>925</v>
      </c>
      <c r="M389" s="14">
        <v>330</v>
      </c>
      <c r="N389" s="11">
        <f>(Table1[[#This Row],[NTE Approved ]]-Table1[[#This Row],[Cost]])/Table1[[#This Row],[Cost]]</f>
        <v>1.803030303030303</v>
      </c>
      <c r="O389" s="9" t="s">
        <v>1274</v>
      </c>
      <c r="P389" s="9" t="s">
        <v>28</v>
      </c>
      <c r="Q389" s="13"/>
      <c r="T389" s="8"/>
    </row>
    <row r="390" spans="1:20" s="9" customFormat="1" ht="27" customHeight="1" x14ac:dyDescent="0.3">
      <c r="A390" s="9">
        <v>341276333</v>
      </c>
      <c r="B390" s="9" t="s">
        <v>20</v>
      </c>
      <c r="C390" s="13">
        <v>46056</v>
      </c>
      <c r="D390" s="13">
        <v>46057</v>
      </c>
      <c r="E390" s="9" t="s">
        <v>21</v>
      </c>
      <c r="F390" s="9" t="s">
        <v>30</v>
      </c>
      <c r="G390" s="9" t="s">
        <v>229</v>
      </c>
      <c r="H390" s="9" t="s">
        <v>1275</v>
      </c>
      <c r="I390" s="9" t="s">
        <v>1276</v>
      </c>
      <c r="J390" s="9" t="s">
        <v>63</v>
      </c>
      <c r="K390" s="14">
        <v>750</v>
      </c>
      <c r="L390" s="14">
        <v>999.93</v>
      </c>
      <c r="M390" s="14">
        <v>325</v>
      </c>
      <c r="N390" s="11">
        <f>(Table1[[#This Row],[NTE Approved ]]-Table1[[#This Row],[Cost]])/Table1[[#This Row],[Cost]]</f>
        <v>2.0767076923076924</v>
      </c>
      <c r="O390" s="9" t="s">
        <v>1277</v>
      </c>
      <c r="P390" s="9" t="s">
        <v>28</v>
      </c>
      <c r="Q390" s="13">
        <v>46063</v>
      </c>
      <c r="T390" s="8"/>
    </row>
    <row r="391" spans="1:20" s="9" customFormat="1" ht="27" customHeight="1" x14ac:dyDescent="0.3">
      <c r="A391" s="9">
        <v>340299670</v>
      </c>
      <c r="B391" s="9" t="s">
        <v>20</v>
      </c>
      <c r="C391" s="13">
        <v>46076</v>
      </c>
      <c r="D391" s="13">
        <v>46077</v>
      </c>
      <c r="E391" s="9" t="s">
        <v>21</v>
      </c>
      <c r="F391" s="9" t="s">
        <v>59</v>
      </c>
      <c r="G391" s="9" t="s">
        <v>1278</v>
      </c>
      <c r="H391" s="9" t="s">
        <v>1279</v>
      </c>
      <c r="I391" s="9" t="s">
        <v>1280</v>
      </c>
      <c r="J391" s="9" t="s">
        <v>195</v>
      </c>
      <c r="K391" s="14">
        <v>750</v>
      </c>
      <c r="L391" s="14">
        <v>556.97</v>
      </c>
      <c r="M391" s="14">
        <v>310</v>
      </c>
      <c r="N391" s="11">
        <f>(Table1[[#This Row],[NTE Approved ]]-Table1[[#This Row],[Cost]])/Table1[[#This Row],[Cost]]</f>
        <v>0.79667741935483882</v>
      </c>
      <c r="O391" s="9" t="s">
        <v>1281</v>
      </c>
      <c r="P391" s="9" t="s">
        <v>28</v>
      </c>
      <c r="Q391" s="13"/>
      <c r="T391" s="8"/>
    </row>
    <row r="392" spans="1:20" s="9" customFormat="1" ht="27" customHeight="1" x14ac:dyDescent="0.3">
      <c r="A392" s="9">
        <v>342206759</v>
      </c>
      <c r="B392" s="9" t="s">
        <v>20</v>
      </c>
      <c r="C392" s="13">
        <v>46057</v>
      </c>
      <c r="D392" s="13">
        <v>46058</v>
      </c>
      <c r="E392" s="9" t="s">
        <v>21</v>
      </c>
      <c r="F392" s="9" t="s">
        <v>45</v>
      </c>
      <c r="G392" s="9" t="s">
        <v>46</v>
      </c>
      <c r="H392" s="9" t="s">
        <v>1282</v>
      </c>
      <c r="I392" s="9" t="s">
        <v>1283</v>
      </c>
      <c r="J392" s="9" t="s">
        <v>227</v>
      </c>
      <c r="K392" s="14">
        <v>750</v>
      </c>
      <c r="L392" s="14">
        <v>923.59</v>
      </c>
      <c r="M392" s="14">
        <v>440.44</v>
      </c>
      <c r="N392" s="11">
        <f>(Table1[[#This Row],[NTE Approved ]]-Table1[[#This Row],[Cost]])/Table1[[#This Row],[Cost]]</f>
        <v>1.0969712106075744</v>
      </c>
      <c r="O392" s="9" t="s">
        <v>1284</v>
      </c>
      <c r="P392" s="9" t="s">
        <v>28</v>
      </c>
      <c r="Q392" s="13">
        <v>46063</v>
      </c>
      <c r="T392" s="8"/>
    </row>
    <row r="393" spans="1:20" s="9" customFormat="1" ht="27" customHeight="1" x14ac:dyDescent="0.3">
      <c r="A393" s="16">
        <v>340405495</v>
      </c>
      <c r="B393" s="9" t="s">
        <v>20</v>
      </c>
      <c r="C393" s="13">
        <v>46069</v>
      </c>
      <c r="D393" s="13">
        <v>46069</v>
      </c>
      <c r="E393" s="9" t="s">
        <v>21</v>
      </c>
      <c r="F393" s="9" t="s">
        <v>22</v>
      </c>
      <c r="G393" s="9" t="s">
        <v>619</v>
      </c>
      <c r="H393" s="9" t="s">
        <v>1023</v>
      </c>
      <c r="I393" s="9" t="s">
        <v>1024</v>
      </c>
      <c r="J393" s="9" t="s">
        <v>195</v>
      </c>
      <c r="K393" s="14">
        <v>750</v>
      </c>
      <c r="L393" s="14">
        <v>913.48</v>
      </c>
      <c r="M393" s="14">
        <v>550</v>
      </c>
      <c r="N393" s="11">
        <f>(Table1[[#This Row],[NTE Approved ]]-Table1[[#This Row],[Cost]])/Table1[[#This Row],[Cost]]</f>
        <v>0.66087272727272728</v>
      </c>
      <c r="O393" s="9" t="s">
        <v>1285</v>
      </c>
      <c r="P393" s="9" t="s">
        <v>28</v>
      </c>
      <c r="Q393" s="13">
        <v>46073</v>
      </c>
      <c r="T393" s="8"/>
    </row>
    <row r="394" spans="1:20" s="9" customFormat="1" ht="27" customHeight="1" x14ac:dyDescent="0.3">
      <c r="A394" s="9">
        <v>341561048</v>
      </c>
      <c r="B394" s="9" t="s">
        <v>20</v>
      </c>
      <c r="C394" s="13">
        <v>46073</v>
      </c>
      <c r="D394" s="13">
        <v>46073</v>
      </c>
      <c r="E394" s="9" t="s">
        <v>21</v>
      </c>
      <c r="F394" s="9" t="s">
        <v>59</v>
      </c>
      <c r="G394" s="9" t="s">
        <v>237</v>
      </c>
      <c r="H394" s="9" t="s">
        <v>1149</v>
      </c>
      <c r="I394" s="9" t="s">
        <v>1150</v>
      </c>
      <c r="J394" s="9" t="s">
        <v>199</v>
      </c>
      <c r="K394" s="14">
        <v>1000</v>
      </c>
      <c r="L394" s="14">
        <v>930.92</v>
      </c>
      <c r="M394" s="14">
        <v>531</v>
      </c>
      <c r="N394" s="11">
        <f>(Table1[[#This Row],[NTE Approved ]]-Table1[[#This Row],[Cost]])/Table1[[#This Row],[Cost]]</f>
        <v>0.75314500941619578</v>
      </c>
      <c r="O394" s="9" t="s">
        <v>1286</v>
      </c>
      <c r="P394" s="9" t="s">
        <v>28</v>
      </c>
      <c r="Q394" s="13"/>
      <c r="T394" s="8"/>
    </row>
    <row r="395" spans="1:20" s="9" customFormat="1" ht="27" customHeight="1" x14ac:dyDescent="0.3">
      <c r="A395" s="9">
        <v>341970338</v>
      </c>
      <c r="B395" s="9" t="s">
        <v>73</v>
      </c>
      <c r="C395" s="13">
        <v>46051</v>
      </c>
      <c r="D395" s="13">
        <v>46051</v>
      </c>
      <c r="E395" s="9" t="s">
        <v>21</v>
      </c>
      <c r="F395" s="9" t="s">
        <v>59</v>
      </c>
      <c r="G395" s="9" t="s">
        <v>346</v>
      </c>
      <c r="H395" s="9" t="s">
        <v>1282</v>
      </c>
      <c r="I395" s="9" t="s">
        <v>1283</v>
      </c>
      <c r="J395" s="9" t="s">
        <v>227</v>
      </c>
      <c r="K395" s="14">
        <v>750</v>
      </c>
      <c r="L395" s="14">
        <v>1577.83</v>
      </c>
      <c r="M395" s="14">
        <v>1627</v>
      </c>
      <c r="N395" s="11">
        <f>(Table1[[#This Row],[NTE Approved ]]-Table1[[#This Row],[Cost]])/Table1[[#This Row],[Cost]]</f>
        <v>-3.022126613398898E-2</v>
      </c>
      <c r="O395" s="9" t="s">
        <v>1287</v>
      </c>
      <c r="P395" s="9" t="s">
        <v>28</v>
      </c>
      <c r="Q395" s="13"/>
      <c r="T395" s="8"/>
    </row>
    <row r="396" spans="1:20" s="9" customFormat="1" ht="27" customHeight="1" x14ac:dyDescent="0.3">
      <c r="A396" s="9">
        <v>339504460</v>
      </c>
      <c r="B396" s="9" t="s">
        <v>1120</v>
      </c>
      <c r="C396" s="13">
        <v>46070</v>
      </c>
      <c r="D396" s="13">
        <v>46071</v>
      </c>
      <c r="E396" s="9" t="s">
        <v>21</v>
      </c>
      <c r="F396" s="9" t="s">
        <v>30</v>
      </c>
      <c r="G396" s="9" t="s">
        <v>126</v>
      </c>
      <c r="H396" s="9" t="s">
        <v>1288</v>
      </c>
      <c r="I396" s="9" t="s">
        <v>933</v>
      </c>
      <c r="J396" s="9" t="s">
        <v>206</v>
      </c>
      <c r="K396" s="14">
        <v>750</v>
      </c>
      <c r="L396" s="14">
        <v>586</v>
      </c>
      <c r="M396" s="14">
        <v>332.9</v>
      </c>
      <c r="N396" s="11">
        <f>(Table1[[#This Row],[NTE Approved ]]-Table1[[#This Row],[Cost]])/Table1[[#This Row],[Cost]]</f>
        <v>0.76028837488735368</v>
      </c>
      <c r="O396" s="9" t="s">
        <v>1289</v>
      </c>
      <c r="P396" s="9" t="s">
        <v>28</v>
      </c>
      <c r="Q396" s="13"/>
      <c r="R396" s="9" t="s">
        <v>68</v>
      </c>
      <c r="T396" s="8"/>
    </row>
    <row r="397" spans="1:20" s="9" customFormat="1" ht="27" customHeight="1" x14ac:dyDescent="0.3">
      <c r="A397" s="9">
        <v>341617317</v>
      </c>
      <c r="B397" s="9" t="s">
        <v>20</v>
      </c>
      <c r="C397" s="13">
        <v>46041</v>
      </c>
      <c r="D397" s="13">
        <v>46043</v>
      </c>
      <c r="E397" s="9" t="s">
        <v>21</v>
      </c>
      <c r="F397" s="9" t="s">
        <v>38</v>
      </c>
      <c r="G397" s="9" t="s">
        <v>1290</v>
      </c>
      <c r="H397" s="9" t="s">
        <v>1291</v>
      </c>
      <c r="I397" s="9" t="s">
        <v>933</v>
      </c>
      <c r="J397" s="9" t="s">
        <v>400</v>
      </c>
      <c r="K397" s="14">
        <v>500</v>
      </c>
      <c r="L397" s="14">
        <v>666.69</v>
      </c>
      <c r="M397" s="14">
        <v>325</v>
      </c>
      <c r="N397" s="11">
        <f>(Table1[[#This Row],[NTE Approved ]]-Table1[[#This Row],[Cost]])/Table1[[#This Row],[Cost]]</f>
        <v>1.0513538461538463</v>
      </c>
      <c r="O397" s="9" t="s">
        <v>1292</v>
      </c>
      <c r="P397" s="9" t="s">
        <v>28</v>
      </c>
      <c r="Q397" s="13">
        <v>46049</v>
      </c>
      <c r="T397" s="8"/>
    </row>
    <row r="398" spans="1:20" s="9" customFormat="1" ht="27" customHeight="1" x14ac:dyDescent="0.3">
      <c r="A398" s="9">
        <v>338501431</v>
      </c>
      <c r="B398" s="9" t="s">
        <v>20</v>
      </c>
      <c r="C398" s="13">
        <v>46062</v>
      </c>
      <c r="D398" s="13">
        <v>46063</v>
      </c>
      <c r="E398" s="9" t="s">
        <v>809</v>
      </c>
      <c r="F398" s="9" t="s">
        <v>59</v>
      </c>
      <c r="G398" s="9" t="s">
        <v>120</v>
      </c>
      <c r="H398" s="9" t="s">
        <v>1293</v>
      </c>
      <c r="I398" s="9" t="s">
        <v>1294</v>
      </c>
      <c r="J398" s="9" t="s">
        <v>34</v>
      </c>
      <c r="K398" s="14">
        <v>1900</v>
      </c>
      <c r="L398" s="14">
        <v>853.4</v>
      </c>
      <c r="M398" s="14">
        <v>538.39</v>
      </c>
      <c r="N398" s="11">
        <f>(Table1[[#This Row],[NTE Approved ]]-Table1[[#This Row],[Cost]])/Table1[[#This Row],[Cost]]</f>
        <v>0.58509630565203663</v>
      </c>
      <c r="O398" s="9" t="s">
        <v>1292</v>
      </c>
      <c r="P398" s="9" t="s">
        <v>28</v>
      </c>
      <c r="Q398" s="13"/>
      <c r="T398" s="8"/>
    </row>
    <row r="399" spans="1:20" s="9" customFormat="1" ht="27" customHeight="1" x14ac:dyDescent="0.3">
      <c r="A399" s="9">
        <v>15064</v>
      </c>
      <c r="B399" s="9" t="s">
        <v>1120</v>
      </c>
      <c r="C399" s="13">
        <v>46072</v>
      </c>
      <c r="D399" s="13">
        <v>46073</v>
      </c>
      <c r="E399" s="9" t="s">
        <v>809</v>
      </c>
      <c r="F399" s="9" t="s">
        <v>59</v>
      </c>
      <c r="G399" s="9" t="s">
        <v>1295</v>
      </c>
      <c r="H399" s="9" t="s">
        <v>1296</v>
      </c>
      <c r="I399" s="9" t="s">
        <v>1297</v>
      </c>
      <c r="J399" s="9" t="s">
        <v>34</v>
      </c>
      <c r="K399" s="14">
        <v>1900</v>
      </c>
      <c r="L399" s="14">
        <v>980.2</v>
      </c>
      <c r="M399" s="14">
        <v>525</v>
      </c>
      <c r="N399" s="11">
        <f>(Table1[[#This Row],[NTE Approved ]]-Table1[[#This Row],[Cost]])/Table1[[#This Row],[Cost]]</f>
        <v>0.86704761904761918</v>
      </c>
      <c r="O399" s="9" t="s">
        <v>1298</v>
      </c>
      <c r="P399" s="9" t="s">
        <v>28</v>
      </c>
      <c r="Q399" s="13"/>
      <c r="T399" s="8"/>
    </row>
    <row r="400" spans="1:20" s="9" customFormat="1" ht="27" customHeight="1" x14ac:dyDescent="0.3">
      <c r="A400" s="9">
        <v>15369</v>
      </c>
      <c r="B400" s="9" t="s">
        <v>29</v>
      </c>
      <c r="C400" s="13">
        <v>46077</v>
      </c>
      <c r="D400" s="13">
        <v>46079</v>
      </c>
      <c r="E400" s="9" t="s">
        <v>809</v>
      </c>
      <c r="F400" s="9" t="s">
        <v>38</v>
      </c>
      <c r="G400" s="9" t="s">
        <v>1299</v>
      </c>
      <c r="H400" s="9" t="s">
        <v>1300</v>
      </c>
      <c r="I400" s="9" t="s">
        <v>1301</v>
      </c>
      <c r="J400" s="9" t="s">
        <v>1302</v>
      </c>
      <c r="K400" s="14">
        <v>1900</v>
      </c>
      <c r="L400" s="14">
        <v>375</v>
      </c>
      <c r="M400" s="14">
        <v>200</v>
      </c>
      <c r="N400" s="11">
        <f>(Table1[[#This Row],[NTE Approved ]]-Table1[[#This Row],[Cost]])/Table1[[#This Row],[Cost]]</f>
        <v>0.875</v>
      </c>
      <c r="O400" s="9" t="s">
        <v>1303</v>
      </c>
      <c r="P400" s="9" t="s">
        <v>28</v>
      </c>
      <c r="Q400" s="13"/>
      <c r="T400" s="8"/>
    </row>
    <row r="401" spans="1:20" s="9" customFormat="1" ht="27" customHeight="1" x14ac:dyDescent="0.3">
      <c r="A401" s="9">
        <v>15426</v>
      </c>
      <c r="B401" s="9" t="s">
        <v>20</v>
      </c>
      <c r="C401" s="13">
        <v>46076</v>
      </c>
      <c r="D401" s="13">
        <v>46077</v>
      </c>
      <c r="E401" s="9" t="s">
        <v>21</v>
      </c>
      <c r="F401" s="9" t="s">
        <v>22</v>
      </c>
      <c r="G401" s="9" t="s">
        <v>1304</v>
      </c>
      <c r="H401" s="9" t="s">
        <v>1305</v>
      </c>
      <c r="I401" s="9" t="s">
        <v>1306</v>
      </c>
      <c r="J401" s="9" t="s">
        <v>42</v>
      </c>
      <c r="K401" s="14">
        <v>1500</v>
      </c>
      <c r="L401" s="14">
        <v>1472.87</v>
      </c>
      <c r="M401" s="14">
        <v>800</v>
      </c>
      <c r="N401" s="11">
        <f>(Table1[[#This Row],[NTE Approved ]]-Table1[[#This Row],[Cost]])/Table1[[#This Row],[Cost]]</f>
        <v>0.84108749999999988</v>
      </c>
      <c r="O401" s="9" t="s">
        <v>1307</v>
      </c>
      <c r="P401" s="9" t="s">
        <v>28</v>
      </c>
      <c r="Q401" s="13"/>
      <c r="T401" s="8"/>
    </row>
    <row r="402" spans="1:20" s="9" customFormat="1" ht="27" customHeight="1" x14ac:dyDescent="0.3">
      <c r="A402" s="9">
        <v>342253259</v>
      </c>
      <c r="B402" s="9" t="s">
        <v>20</v>
      </c>
      <c r="C402" s="13">
        <v>46056</v>
      </c>
      <c r="D402" s="13">
        <v>46057</v>
      </c>
      <c r="E402" s="9" t="s">
        <v>21</v>
      </c>
      <c r="F402" s="9" t="s">
        <v>22</v>
      </c>
      <c r="G402" s="9" t="s">
        <v>92</v>
      </c>
      <c r="H402" s="9" t="s">
        <v>938</v>
      </c>
      <c r="I402" s="9" t="s">
        <v>939</v>
      </c>
      <c r="J402" s="9" t="s">
        <v>56</v>
      </c>
      <c r="K402" s="14">
        <v>550</v>
      </c>
      <c r="L402" s="14">
        <v>540.52</v>
      </c>
      <c r="M402" s="14">
        <v>250</v>
      </c>
      <c r="N402" s="11">
        <f>(Table1[[#This Row],[NTE Approved ]]-Table1[[#This Row],[Cost]])/Table1[[#This Row],[Cost]]</f>
        <v>1.16208</v>
      </c>
      <c r="O402" s="9" t="s">
        <v>1308</v>
      </c>
      <c r="P402" s="9" t="s">
        <v>28</v>
      </c>
      <c r="Q402" s="13"/>
      <c r="T402" s="8"/>
    </row>
    <row r="403" spans="1:20" s="9" customFormat="1" ht="27" customHeight="1" x14ac:dyDescent="0.3">
      <c r="A403" s="9">
        <v>340272367</v>
      </c>
      <c r="B403" s="9" t="s">
        <v>91</v>
      </c>
      <c r="C403" s="13">
        <v>46069</v>
      </c>
      <c r="D403" s="13">
        <v>46069</v>
      </c>
      <c r="E403" s="9" t="s">
        <v>21</v>
      </c>
      <c r="F403" s="9" t="s">
        <v>59</v>
      </c>
      <c r="G403" s="9" t="s">
        <v>1309</v>
      </c>
      <c r="H403" s="9" t="s">
        <v>139</v>
      </c>
      <c r="I403" s="9" t="s">
        <v>140</v>
      </c>
      <c r="J403" s="9" t="s">
        <v>63</v>
      </c>
      <c r="K403" s="14">
        <v>1000</v>
      </c>
      <c r="L403" s="14">
        <v>804.83</v>
      </c>
      <c r="M403" s="14">
        <v>275</v>
      </c>
      <c r="N403" s="11">
        <f>(Table1[[#This Row],[NTE Approved ]]-Table1[[#This Row],[Cost]])/Table1[[#This Row],[Cost]]</f>
        <v>1.9266545454545456</v>
      </c>
      <c r="O403" s="9" t="s">
        <v>1310</v>
      </c>
      <c r="P403" s="9" t="s">
        <v>28</v>
      </c>
      <c r="Q403" s="13"/>
      <c r="T403" s="8"/>
    </row>
    <row r="404" spans="1:20" s="9" customFormat="1" ht="27" customHeight="1" x14ac:dyDescent="0.3">
      <c r="A404" s="9">
        <v>341546674</v>
      </c>
      <c r="B404" s="9" t="s">
        <v>91</v>
      </c>
      <c r="C404" s="13">
        <v>46069</v>
      </c>
      <c r="D404" s="13">
        <v>46069</v>
      </c>
      <c r="E404" s="9" t="s">
        <v>21</v>
      </c>
      <c r="F404" s="9" t="s">
        <v>59</v>
      </c>
      <c r="G404" s="9" t="s">
        <v>60</v>
      </c>
      <c r="H404" s="9" t="s">
        <v>1311</v>
      </c>
      <c r="I404" s="9" t="s">
        <v>1312</v>
      </c>
      <c r="J404" s="9" t="s">
        <v>1071</v>
      </c>
      <c r="K404" s="14">
        <v>1000</v>
      </c>
      <c r="L404" s="14">
        <v>804.83</v>
      </c>
      <c r="M404" s="14">
        <v>275</v>
      </c>
      <c r="N404" s="11">
        <f>(Table1[[#This Row],[NTE Approved ]]-Table1[[#This Row],[Cost]])/Table1[[#This Row],[Cost]]</f>
        <v>1.9266545454545456</v>
      </c>
      <c r="O404" s="9" t="s">
        <v>1310</v>
      </c>
      <c r="P404" s="9" t="s">
        <v>28</v>
      </c>
      <c r="Q404" s="13"/>
      <c r="T404" s="8"/>
    </row>
    <row r="405" spans="1:20" s="9" customFormat="1" ht="27" customHeight="1" x14ac:dyDescent="0.3">
      <c r="A405" s="9">
        <v>341617103</v>
      </c>
      <c r="B405" s="9" t="s">
        <v>91</v>
      </c>
      <c r="C405" s="13">
        <v>46070</v>
      </c>
      <c r="D405" s="13">
        <v>46070</v>
      </c>
      <c r="E405" s="9" t="s">
        <v>21</v>
      </c>
      <c r="F405" s="9" t="s">
        <v>59</v>
      </c>
      <c r="G405" s="9" t="s">
        <v>60</v>
      </c>
      <c r="H405" s="9" t="s">
        <v>1313</v>
      </c>
      <c r="I405" s="9" t="s">
        <v>1314</v>
      </c>
      <c r="J405" s="9" t="s">
        <v>290</v>
      </c>
      <c r="K405" s="14">
        <v>350</v>
      </c>
      <c r="L405" s="14">
        <v>336.46</v>
      </c>
      <c r="M405" s="14">
        <v>150</v>
      </c>
      <c r="N405" s="11">
        <f>(Table1[[#This Row],[NTE Approved ]]-Table1[[#This Row],[Cost]])/Table1[[#This Row],[Cost]]</f>
        <v>1.2430666666666665</v>
      </c>
      <c r="O405" s="9" t="s">
        <v>1315</v>
      </c>
      <c r="P405" s="9" t="s">
        <v>28</v>
      </c>
      <c r="Q405" s="13"/>
      <c r="T405" s="8"/>
    </row>
    <row r="406" spans="1:20" s="9" customFormat="1" ht="27" customHeight="1" x14ac:dyDescent="0.3">
      <c r="A406" s="9">
        <v>339431884</v>
      </c>
      <c r="B406" s="9" t="s">
        <v>91</v>
      </c>
      <c r="C406" s="13">
        <v>46050</v>
      </c>
      <c r="D406" s="13">
        <v>46086</v>
      </c>
      <c r="E406" s="9" t="s">
        <v>21</v>
      </c>
      <c r="F406" s="9" t="s">
        <v>38</v>
      </c>
      <c r="G406" s="9" t="s">
        <v>433</v>
      </c>
      <c r="H406" s="9" t="s">
        <v>1316</v>
      </c>
      <c r="I406" s="9" t="s">
        <v>919</v>
      </c>
      <c r="J406" s="9" t="s">
        <v>63</v>
      </c>
      <c r="K406" s="14">
        <v>550</v>
      </c>
      <c r="L406" s="14">
        <v>150</v>
      </c>
      <c r="M406" s="14"/>
      <c r="N406" s="11" t="e">
        <f>(Table1[[#This Row],[NTE Approved ]]-Table1[[#This Row],[Cost]])/Table1[[#This Row],[Cost]]</f>
        <v>#DIV/0!</v>
      </c>
      <c r="O406" s="9" t="s">
        <v>1317</v>
      </c>
      <c r="P406" s="9" t="s">
        <v>51</v>
      </c>
      <c r="Q406" s="13">
        <v>46062</v>
      </c>
      <c r="T406" s="8"/>
    </row>
    <row r="407" spans="1:20" s="9" customFormat="1" ht="27" customHeight="1" x14ac:dyDescent="0.3">
      <c r="A407" s="9">
        <v>341284500</v>
      </c>
      <c r="B407" s="9" t="s">
        <v>91</v>
      </c>
      <c r="C407" s="13">
        <v>46066</v>
      </c>
      <c r="D407" s="13">
        <v>46067</v>
      </c>
      <c r="E407" s="9" t="s">
        <v>21</v>
      </c>
      <c r="F407" s="9" t="s">
        <v>59</v>
      </c>
      <c r="G407" s="9" t="s">
        <v>237</v>
      </c>
      <c r="H407" s="9" t="s">
        <v>1318</v>
      </c>
      <c r="I407" s="9" t="s">
        <v>1319</v>
      </c>
      <c r="J407" s="9" t="s">
        <v>206</v>
      </c>
      <c r="K407" s="14">
        <v>550</v>
      </c>
      <c r="L407" s="14">
        <v>1583.58</v>
      </c>
      <c r="M407" s="14">
        <v>650</v>
      </c>
      <c r="N407" s="11">
        <f>(Table1[[#This Row],[NTE Approved ]]-Table1[[#This Row],[Cost]])/Table1[[#This Row],[Cost]]</f>
        <v>1.436276923076923</v>
      </c>
      <c r="O407" s="9" t="s">
        <v>1320</v>
      </c>
      <c r="P407" s="9" t="s">
        <v>28</v>
      </c>
      <c r="Q407" s="13"/>
      <c r="T407" s="8"/>
    </row>
    <row r="408" spans="1:20" s="9" customFormat="1" ht="27" customHeight="1" x14ac:dyDescent="0.3">
      <c r="A408" s="9" t="s">
        <v>1321</v>
      </c>
      <c r="B408" s="9" t="s">
        <v>44</v>
      </c>
      <c r="C408" s="13">
        <v>46029</v>
      </c>
      <c r="D408" s="13">
        <v>46029</v>
      </c>
      <c r="E408" s="9" t="s">
        <v>1322</v>
      </c>
      <c r="F408" s="9" t="s">
        <v>1323</v>
      </c>
      <c r="G408" s="9" t="s">
        <v>164</v>
      </c>
      <c r="H408" s="9" t="s">
        <v>1324</v>
      </c>
      <c r="I408" s="9" t="s">
        <v>1325</v>
      </c>
      <c r="J408" s="9" t="s">
        <v>26</v>
      </c>
      <c r="K408" s="14">
        <v>100</v>
      </c>
      <c r="L408" s="14"/>
      <c r="M408" s="14"/>
      <c r="N408" s="11" t="e">
        <f>(Table1[[#This Row],[NTE Approved ]]-Table1[[#This Row],[Cost]])/Table1[[#This Row],[Cost]]</f>
        <v>#DIV/0!</v>
      </c>
      <c r="O408" s="9" t="s">
        <v>1326</v>
      </c>
      <c r="P408" s="9" t="s">
        <v>162</v>
      </c>
      <c r="Q408" s="13"/>
      <c r="T408" s="8"/>
    </row>
    <row r="409" spans="1:20" s="9" customFormat="1" ht="27" customHeight="1" x14ac:dyDescent="0.3">
      <c r="A409" s="9">
        <v>15380</v>
      </c>
      <c r="B409" s="9" t="s">
        <v>1120</v>
      </c>
      <c r="C409" s="13">
        <v>46077</v>
      </c>
      <c r="D409" s="13">
        <v>46077</v>
      </c>
      <c r="E409" s="9" t="s">
        <v>809</v>
      </c>
      <c r="F409" s="9" t="s">
        <v>22</v>
      </c>
      <c r="G409" s="9" t="s">
        <v>1327</v>
      </c>
      <c r="H409" s="9" t="s">
        <v>1328</v>
      </c>
      <c r="I409" s="9" t="s">
        <v>1329</v>
      </c>
      <c r="J409" s="9" t="s">
        <v>311</v>
      </c>
      <c r="K409" s="14">
        <v>1900</v>
      </c>
      <c r="L409" s="14">
        <v>312.5</v>
      </c>
      <c r="M409" s="14">
        <v>150</v>
      </c>
      <c r="N409" s="11">
        <f>(Table1[[#This Row],[NTE Approved ]]-Table1[[#This Row],[Cost]])/Table1[[#This Row],[Cost]]</f>
        <v>1.0833333333333333</v>
      </c>
      <c r="O409" s="9" t="s">
        <v>1330</v>
      </c>
      <c r="P409" s="9" t="s">
        <v>28</v>
      </c>
      <c r="Q409" s="13"/>
      <c r="T409" s="8"/>
    </row>
    <row r="410" spans="1:20" s="9" customFormat="1" ht="27" customHeight="1" x14ac:dyDescent="0.3">
      <c r="A410" s="35">
        <v>46082</v>
      </c>
      <c r="C410" s="13"/>
      <c r="D410" s="13"/>
      <c r="K410" s="14"/>
      <c r="L410" s="14"/>
      <c r="M410" s="14"/>
      <c r="N410" s="11" t="e">
        <f>(Table1[[#This Row],[NTE Approved ]]-Table1[[#This Row],[Cost]])/Table1[[#This Row],[Cost]]</f>
        <v>#DIV/0!</v>
      </c>
      <c r="Q410" s="13"/>
      <c r="T410" s="8"/>
    </row>
    <row r="411" spans="1:20" s="9" customFormat="1" ht="27" customHeight="1" x14ac:dyDescent="0.3">
      <c r="A411" s="27" t="s">
        <v>1331</v>
      </c>
      <c r="B411" s="9" t="s">
        <v>80</v>
      </c>
      <c r="C411" s="13">
        <v>46078</v>
      </c>
      <c r="D411" s="13">
        <v>46083</v>
      </c>
      <c r="E411" s="9" t="s">
        <v>1332</v>
      </c>
      <c r="F411" s="9" t="s">
        <v>38</v>
      </c>
      <c r="G411" s="9" t="s">
        <v>1333</v>
      </c>
      <c r="H411" s="25" t="s">
        <v>1334</v>
      </c>
      <c r="I411" s="27" t="s">
        <v>1335</v>
      </c>
      <c r="J411" s="9" t="s">
        <v>123</v>
      </c>
      <c r="K411" s="14">
        <v>0</v>
      </c>
      <c r="L411" s="27">
        <v>1587</v>
      </c>
      <c r="M411" s="14">
        <v>85</v>
      </c>
      <c r="N411" s="11">
        <f>(Table1[[#This Row],[NTE Approved ]]-Table1[[#This Row],[Cost]])/Table1[[#This Row],[Cost]]</f>
        <v>17.670588235294119</v>
      </c>
      <c r="O411" s="9" t="s">
        <v>1336</v>
      </c>
      <c r="P411" s="9" t="s">
        <v>28</v>
      </c>
      <c r="Q411" s="13"/>
      <c r="T411" s="8">
        <v>46083</v>
      </c>
    </row>
    <row r="412" spans="1:20" s="9" customFormat="1" ht="27" customHeight="1" x14ac:dyDescent="0.3">
      <c r="A412" s="9" t="s">
        <v>1337</v>
      </c>
      <c r="B412" s="9" t="s">
        <v>73</v>
      </c>
      <c r="C412" s="13">
        <v>46083</v>
      </c>
      <c r="D412" s="13">
        <v>46085</v>
      </c>
      <c r="E412" s="9" t="s">
        <v>1338</v>
      </c>
      <c r="F412" s="9" t="s">
        <v>38</v>
      </c>
      <c r="G412" s="9" t="s">
        <v>1339</v>
      </c>
      <c r="H412" s="9" t="s">
        <v>1340</v>
      </c>
      <c r="I412" s="9" t="s">
        <v>1341</v>
      </c>
      <c r="J412" s="9" t="s">
        <v>123</v>
      </c>
      <c r="K412" s="14">
        <v>0</v>
      </c>
      <c r="L412" s="27"/>
      <c r="M412" s="14"/>
      <c r="N412" s="11" t="e">
        <f>(Table1[[#This Row],[NTE Approved ]]-Table1[[#This Row],[Cost]])/Table1[[#This Row],[Cost]]</f>
        <v>#DIV/0!</v>
      </c>
      <c r="O412" s="9" t="s">
        <v>1342</v>
      </c>
      <c r="P412" s="9" t="s">
        <v>162</v>
      </c>
      <c r="Q412" s="13"/>
      <c r="T412" s="8"/>
    </row>
    <row r="413" spans="1:20" s="9" customFormat="1" ht="27" customHeight="1" x14ac:dyDescent="0.3">
      <c r="A413" s="9" t="s">
        <v>1343</v>
      </c>
      <c r="B413" s="9" t="s">
        <v>73</v>
      </c>
      <c r="C413" s="13">
        <v>46083</v>
      </c>
      <c r="D413" s="13">
        <v>46085</v>
      </c>
      <c r="E413" s="9" t="s">
        <v>1338</v>
      </c>
      <c r="F413" s="9" t="s">
        <v>38</v>
      </c>
      <c r="G413" s="9" t="s">
        <v>1339</v>
      </c>
      <c r="H413" s="9" t="s">
        <v>1344</v>
      </c>
      <c r="I413" s="9" t="s">
        <v>1345</v>
      </c>
      <c r="J413" s="9" t="s">
        <v>123</v>
      </c>
      <c r="K413" s="14">
        <v>0</v>
      </c>
      <c r="L413" s="14"/>
      <c r="M413" s="14"/>
      <c r="N413" s="11" t="e">
        <f>(Table1[[#This Row],[NTE Approved ]]-Table1[[#This Row],[Cost]])/Table1[[#This Row],[Cost]]</f>
        <v>#DIV/0!</v>
      </c>
      <c r="O413" s="9" t="s">
        <v>1346</v>
      </c>
      <c r="P413" s="9" t="s">
        <v>162</v>
      </c>
      <c r="Q413" s="13"/>
      <c r="T413" s="8"/>
    </row>
    <row r="414" spans="1:20" s="9" customFormat="1" ht="27" customHeight="1" x14ac:dyDescent="0.3">
      <c r="A414" s="27">
        <v>9785</v>
      </c>
      <c r="B414" s="9" t="s">
        <v>44</v>
      </c>
      <c r="C414" s="13">
        <v>46050</v>
      </c>
      <c r="D414" s="13">
        <v>46097</v>
      </c>
      <c r="E414" s="25" t="s">
        <v>1347</v>
      </c>
      <c r="F414" s="9" t="s">
        <v>759</v>
      </c>
      <c r="G414" s="9" t="s">
        <v>1348</v>
      </c>
      <c r="H414" s="9" t="s">
        <v>1349</v>
      </c>
      <c r="I414" s="9" t="s">
        <v>1350</v>
      </c>
      <c r="J414" s="9" t="s">
        <v>100</v>
      </c>
      <c r="K414" s="14">
        <v>0</v>
      </c>
      <c r="L414" s="14"/>
      <c r="M414" s="14"/>
      <c r="N414" s="11" t="e">
        <f>(Table1[[#This Row],[NTE Approved ]]-Table1[[#This Row],[Cost]])/Table1[[#This Row],[Cost]]</f>
        <v>#DIV/0!</v>
      </c>
      <c r="O414" s="9" t="s">
        <v>1351</v>
      </c>
      <c r="P414" s="9" t="s">
        <v>162</v>
      </c>
      <c r="Q414" s="13"/>
      <c r="T414" s="8"/>
    </row>
    <row r="415" spans="1:20" s="9" customFormat="1" ht="27" customHeight="1" x14ac:dyDescent="0.3">
      <c r="A415" s="9">
        <v>900701</v>
      </c>
      <c r="B415" s="9" t="s">
        <v>163</v>
      </c>
      <c r="C415" s="13">
        <v>46070</v>
      </c>
      <c r="D415" s="13">
        <v>46090</v>
      </c>
      <c r="E415" s="9" t="s">
        <v>1352</v>
      </c>
      <c r="F415" s="9" t="s">
        <v>759</v>
      </c>
      <c r="G415" s="9" t="s">
        <v>1348</v>
      </c>
      <c r="H415" s="9" t="s">
        <v>1353</v>
      </c>
      <c r="I415" s="9" t="s">
        <v>1354</v>
      </c>
      <c r="J415" s="9" t="s">
        <v>216</v>
      </c>
      <c r="K415" s="14">
        <v>0</v>
      </c>
      <c r="L415" s="14"/>
      <c r="M415" s="14"/>
      <c r="N415" s="11" t="e">
        <f>(Table1[[#This Row],[NTE Approved ]]-Table1[[#This Row],[Cost]])/Table1[[#This Row],[Cost]]</f>
        <v>#DIV/0!</v>
      </c>
      <c r="O415" s="9" t="s">
        <v>1355</v>
      </c>
      <c r="P415" s="9" t="s">
        <v>162</v>
      </c>
      <c r="Q415" s="13"/>
      <c r="T415" s="8"/>
    </row>
    <row r="416" spans="1:20" s="9" customFormat="1" ht="27" customHeight="1" x14ac:dyDescent="0.3">
      <c r="A416" s="9" t="s">
        <v>1356</v>
      </c>
      <c r="B416" s="9" t="s">
        <v>80</v>
      </c>
      <c r="C416" s="13">
        <v>46078</v>
      </c>
      <c r="D416" s="13">
        <v>46083</v>
      </c>
      <c r="E416" s="9" t="s">
        <v>1332</v>
      </c>
      <c r="F416" s="9" t="s">
        <v>38</v>
      </c>
      <c r="G416" s="9" t="s">
        <v>1333</v>
      </c>
      <c r="H416" s="9" t="s">
        <v>1357</v>
      </c>
      <c r="I416" s="9" t="s">
        <v>1335</v>
      </c>
      <c r="J416" s="9" t="s">
        <v>123</v>
      </c>
      <c r="K416" s="14">
        <v>0</v>
      </c>
      <c r="L416" s="14">
        <v>4654.03</v>
      </c>
      <c r="M416" s="14">
        <v>2500</v>
      </c>
      <c r="N416" s="11">
        <f>(Table1[[#This Row],[NTE Approved ]]-Table1[[#This Row],[Cost]])/Table1[[#This Row],[Cost]]</f>
        <v>0.86161199999999993</v>
      </c>
      <c r="O416" s="9" t="s">
        <v>1336</v>
      </c>
      <c r="P416" s="9" t="s">
        <v>28</v>
      </c>
      <c r="Q416" s="13"/>
      <c r="T416" s="8">
        <v>46093</v>
      </c>
    </row>
    <row r="417" spans="1:153" s="9" customFormat="1" ht="27" customHeight="1" x14ac:dyDescent="0.3">
      <c r="A417" s="9" t="s">
        <v>1358</v>
      </c>
      <c r="B417" s="9" t="s">
        <v>80</v>
      </c>
      <c r="C417" s="13">
        <v>46064</v>
      </c>
      <c r="D417" s="13">
        <v>46065</v>
      </c>
      <c r="E417" s="9" t="s">
        <v>1359</v>
      </c>
      <c r="F417" s="9" t="s">
        <v>38</v>
      </c>
      <c r="G417" s="9" t="s">
        <v>1333</v>
      </c>
      <c r="H417" s="9" t="s">
        <v>1360</v>
      </c>
      <c r="I417" s="9" t="s">
        <v>1361</v>
      </c>
      <c r="J417" s="9" t="s">
        <v>783</v>
      </c>
      <c r="K417" s="14">
        <v>0</v>
      </c>
      <c r="L417" s="14">
        <v>1324.88</v>
      </c>
      <c r="M417" s="14">
        <v>530</v>
      </c>
      <c r="N417" s="11">
        <f>(Table1[[#This Row],[NTE Approved ]]-Table1[[#This Row],[Cost]])/Table1[[#This Row],[Cost]]</f>
        <v>1.4997735849056606</v>
      </c>
      <c r="O417" s="9" t="s">
        <v>1362</v>
      </c>
      <c r="P417" s="9" t="s">
        <v>28</v>
      </c>
      <c r="Q417" s="13"/>
      <c r="T417" s="8">
        <v>46093</v>
      </c>
    </row>
    <row r="418" spans="1:153" s="9" customFormat="1" ht="27" customHeight="1" x14ac:dyDescent="0.3">
      <c r="A418" s="9" t="s">
        <v>1363</v>
      </c>
      <c r="B418" s="9" t="s">
        <v>44</v>
      </c>
      <c r="C418" s="13">
        <v>46073</v>
      </c>
      <c r="D418" s="13">
        <v>46076</v>
      </c>
      <c r="E418" s="9" t="s">
        <v>1364</v>
      </c>
      <c r="F418" s="9" t="s">
        <v>38</v>
      </c>
      <c r="G418" s="27" t="s">
        <v>1365</v>
      </c>
      <c r="H418" s="9" t="s">
        <v>1366</v>
      </c>
      <c r="I418" s="9" t="s">
        <v>1367</v>
      </c>
      <c r="J418" s="9" t="s">
        <v>1071</v>
      </c>
      <c r="K418" s="14">
        <v>0</v>
      </c>
      <c r="L418" s="14">
        <v>150</v>
      </c>
      <c r="M418" s="14">
        <v>0</v>
      </c>
      <c r="N418" s="11" t="e">
        <f>(Table1[[#This Row],[NTE Approved ]]-Table1[[#This Row],[Cost]])/Table1[[#This Row],[Cost]]</f>
        <v>#DIV/0!</v>
      </c>
      <c r="O418" s="9" t="s">
        <v>1368</v>
      </c>
      <c r="P418" s="9" t="s">
        <v>51</v>
      </c>
      <c r="Q418" s="13"/>
      <c r="T418" s="8">
        <v>46094</v>
      </c>
    </row>
    <row r="419" spans="1:153" s="9" customFormat="1" ht="27" customHeight="1" x14ac:dyDescent="0.3">
      <c r="A419" s="27" t="s">
        <v>1369</v>
      </c>
      <c r="B419" s="9" t="s">
        <v>163</v>
      </c>
      <c r="C419" s="13">
        <v>45933</v>
      </c>
      <c r="D419" s="13">
        <v>45938</v>
      </c>
      <c r="E419" s="9" t="s">
        <v>1370</v>
      </c>
      <c r="F419" s="9" t="s">
        <v>759</v>
      </c>
      <c r="G419" s="9" t="s">
        <v>1371</v>
      </c>
      <c r="H419" s="9" t="s">
        <v>1372</v>
      </c>
      <c r="I419" s="9" t="s">
        <v>1373</v>
      </c>
      <c r="J419" s="9" t="s">
        <v>100</v>
      </c>
      <c r="K419" s="14">
        <v>0</v>
      </c>
      <c r="L419" s="14">
        <v>16170</v>
      </c>
      <c r="M419" s="14">
        <v>13200</v>
      </c>
      <c r="N419" s="11">
        <f>(Table1[[#This Row],[NTE Approved ]]-Table1[[#This Row],[Cost]])/Table1[[#This Row],[Cost]]</f>
        <v>0.22500000000000001</v>
      </c>
      <c r="O419" s="9" t="s">
        <v>1374</v>
      </c>
      <c r="P419" s="9" t="s">
        <v>28</v>
      </c>
      <c r="Q419" s="13"/>
      <c r="R419" s="9" t="s">
        <v>68</v>
      </c>
      <c r="T419" s="8">
        <v>46099</v>
      </c>
    </row>
    <row r="420" spans="1:153" s="9" customFormat="1" ht="35.25" customHeight="1" x14ac:dyDescent="0.3">
      <c r="A420" s="9">
        <v>339123326</v>
      </c>
      <c r="B420" s="9" t="s">
        <v>163</v>
      </c>
      <c r="C420" s="13">
        <v>46050</v>
      </c>
      <c r="D420" s="13">
        <v>46051</v>
      </c>
      <c r="E420" s="9" t="s">
        <v>21</v>
      </c>
      <c r="F420" s="9" t="s">
        <v>38</v>
      </c>
      <c r="G420" s="9" t="s">
        <v>324</v>
      </c>
      <c r="H420" s="9" t="s">
        <v>1375</v>
      </c>
      <c r="I420" s="9" t="s">
        <v>1376</v>
      </c>
      <c r="J420" s="9" t="s">
        <v>42</v>
      </c>
      <c r="K420" s="28">
        <v>250</v>
      </c>
      <c r="L420" s="14">
        <v>703.56</v>
      </c>
      <c r="M420" s="14">
        <v>400</v>
      </c>
      <c r="N420" s="11">
        <f>(Table1[[#This Row],[NTE Approved ]]-Table1[[#This Row],[Cost]])/Table1[[#This Row],[Cost]]</f>
        <v>0.75889999999999991</v>
      </c>
      <c r="O420" s="9" t="s">
        <v>1377</v>
      </c>
      <c r="P420" s="9" t="s">
        <v>28</v>
      </c>
      <c r="Q420" s="13"/>
      <c r="T420" s="8">
        <v>46086</v>
      </c>
    </row>
    <row r="421" spans="1:153" s="9" customFormat="1" ht="28.8" x14ac:dyDescent="0.3">
      <c r="A421" s="9">
        <v>15482</v>
      </c>
      <c r="B421" s="9" t="s">
        <v>91</v>
      </c>
      <c r="C421" s="13">
        <v>46085</v>
      </c>
      <c r="D421" s="13">
        <v>46087</v>
      </c>
      <c r="E421" s="9" t="s">
        <v>809</v>
      </c>
      <c r="F421" s="9" t="s">
        <v>22</v>
      </c>
      <c r="G421" s="9" t="s">
        <v>92</v>
      </c>
      <c r="H421" s="9" t="s">
        <v>845</v>
      </c>
      <c r="I421" s="9" t="s">
        <v>1378</v>
      </c>
      <c r="J421" s="9" t="s">
        <v>26</v>
      </c>
      <c r="K421" s="14">
        <v>1900</v>
      </c>
      <c r="L421" s="14"/>
      <c r="M421" s="14"/>
      <c r="N421" s="11" t="e">
        <f>(Table1[[#This Row],[NTE Approved ]]-Table1[[#This Row],[Cost]])/Table1[[#This Row],[Cost]]</f>
        <v>#DIV/0!</v>
      </c>
      <c r="O421" s="9" t="s">
        <v>1379</v>
      </c>
      <c r="P421" s="9" t="s">
        <v>162</v>
      </c>
      <c r="Q421" s="13"/>
      <c r="T421" s="8"/>
    </row>
    <row r="422" spans="1:153" s="9" customFormat="1" ht="28.8" x14ac:dyDescent="0.3">
      <c r="A422" s="9">
        <v>14822</v>
      </c>
      <c r="B422" s="9" t="s">
        <v>80</v>
      </c>
      <c r="C422" s="13">
        <v>46085</v>
      </c>
      <c r="D422" s="13">
        <v>46087</v>
      </c>
      <c r="E422" s="9" t="s">
        <v>809</v>
      </c>
      <c r="F422" s="9" t="s">
        <v>38</v>
      </c>
      <c r="G422" s="9" t="s">
        <v>785</v>
      </c>
      <c r="H422" s="9" t="s">
        <v>1380</v>
      </c>
      <c r="I422" s="9" t="s">
        <v>1381</v>
      </c>
      <c r="J422" s="9" t="s">
        <v>26</v>
      </c>
      <c r="K422" s="14">
        <v>1900</v>
      </c>
      <c r="L422" s="14"/>
      <c r="M422" s="14"/>
      <c r="N422" s="11" t="e">
        <f>(Table1[[#This Row],[NTE Approved ]]-Table1[[#This Row],[Cost]])/Table1[[#This Row],[Cost]]</f>
        <v>#DIV/0!</v>
      </c>
      <c r="O422" s="9" t="s">
        <v>1382</v>
      </c>
      <c r="P422" s="9" t="s">
        <v>162</v>
      </c>
      <c r="Q422" s="13"/>
      <c r="T422" s="8"/>
    </row>
    <row r="423" spans="1:153" s="9" customFormat="1" ht="28.8" x14ac:dyDescent="0.3">
      <c r="A423" s="9">
        <v>14819</v>
      </c>
      <c r="B423" s="9" t="s">
        <v>29</v>
      </c>
      <c r="C423" s="13">
        <v>46085</v>
      </c>
      <c r="D423" s="13">
        <v>46087</v>
      </c>
      <c r="E423" s="9" t="s">
        <v>809</v>
      </c>
      <c r="F423" s="9" t="s">
        <v>22</v>
      </c>
      <c r="G423" s="9" t="s">
        <v>1383</v>
      </c>
      <c r="H423" s="9" t="s">
        <v>1380</v>
      </c>
      <c r="I423" s="9" t="s">
        <v>1381</v>
      </c>
      <c r="J423" s="9" t="s">
        <v>26</v>
      </c>
      <c r="K423" s="14">
        <v>1900</v>
      </c>
      <c r="L423" s="14"/>
      <c r="M423" s="14"/>
      <c r="N423" s="11" t="e">
        <f>(Table1[[#This Row],[NTE Approved ]]-Table1[[#This Row],[Cost]])/Table1[[#This Row],[Cost]]</f>
        <v>#DIV/0!</v>
      </c>
      <c r="O423" s="9" t="s">
        <v>1384</v>
      </c>
      <c r="P423" s="9" t="s">
        <v>162</v>
      </c>
      <c r="Q423" s="13"/>
      <c r="T423" s="8"/>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c r="CT423"/>
      <c r="CU423"/>
      <c r="CV423"/>
      <c r="CW423"/>
      <c r="CX423"/>
      <c r="CY423"/>
      <c r="CZ423"/>
      <c r="DA423"/>
      <c r="DB423"/>
      <c r="DC423"/>
      <c r="DD423"/>
      <c r="DE423"/>
      <c r="DF423"/>
      <c r="DG423"/>
      <c r="DH423"/>
      <c r="DI423"/>
      <c r="DJ423"/>
      <c r="DK423"/>
      <c r="DL423"/>
      <c r="DM423"/>
      <c r="DN423"/>
      <c r="DO423"/>
      <c r="DP423"/>
      <c r="DQ423"/>
      <c r="DR423"/>
      <c r="DS423"/>
      <c r="DT423"/>
      <c r="DU423"/>
      <c r="DV423"/>
      <c r="DW423"/>
      <c r="DX423"/>
      <c r="DY423"/>
      <c r="DZ423"/>
      <c r="EA423"/>
      <c r="EB423"/>
      <c r="EC423"/>
      <c r="ED423"/>
      <c r="EE423"/>
      <c r="EF423"/>
      <c r="EG423"/>
      <c r="EH423"/>
      <c r="EI423"/>
      <c r="EJ423"/>
      <c r="EK423"/>
      <c r="EL423"/>
      <c r="EM423"/>
      <c r="EN423"/>
      <c r="EO423"/>
      <c r="EP423"/>
      <c r="EQ423"/>
      <c r="ER423"/>
      <c r="ES423"/>
      <c r="ET423"/>
      <c r="EU423"/>
      <c r="EV423"/>
      <c r="EW423"/>
    </row>
    <row r="424" spans="1:153" ht="28.8" x14ac:dyDescent="0.3">
      <c r="A424" s="9">
        <v>14817</v>
      </c>
      <c r="B424" s="9" t="s">
        <v>1120</v>
      </c>
      <c r="C424" s="13">
        <v>46085</v>
      </c>
      <c r="D424" s="13">
        <v>46087</v>
      </c>
      <c r="E424" s="9" t="s">
        <v>809</v>
      </c>
      <c r="F424" s="9" t="s">
        <v>317</v>
      </c>
      <c r="G424" s="9" t="s">
        <v>1385</v>
      </c>
      <c r="H424" s="9" t="s">
        <v>1380</v>
      </c>
      <c r="I424" s="9" t="s">
        <v>1381</v>
      </c>
      <c r="J424" s="9" t="s">
        <v>26</v>
      </c>
      <c r="K424" s="14">
        <v>1900</v>
      </c>
      <c r="L424" s="14"/>
      <c r="M424" s="14"/>
      <c r="N424" s="11" t="e">
        <f>(Table1[[#This Row],[NTE Approved ]]-Table1[[#This Row],[Cost]])/Table1[[#This Row],[Cost]]</f>
        <v>#DIV/0!</v>
      </c>
      <c r="O424" s="9" t="s">
        <v>1386</v>
      </c>
      <c r="P424" s="9" t="s">
        <v>162</v>
      </c>
      <c r="Q424" s="13"/>
      <c r="R424" s="9"/>
      <c r="S424" s="9"/>
    </row>
    <row r="425" spans="1:153" ht="30" customHeight="1" x14ac:dyDescent="0.3">
      <c r="A425" s="37" t="s">
        <v>1387</v>
      </c>
      <c r="B425" s="38" t="s">
        <v>163</v>
      </c>
      <c r="C425" s="39">
        <v>46065</v>
      </c>
      <c r="D425" s="39">
        <v>46065</v>
      </c>
      <c r="E425" s="38" t="s">
        <v>1388</v>
      </c>
      <c r="F425" s="38" t="s">
        <v>45</v>
      </c>
      <c r="G425" s="38" t="s">
        <v>46</v>
      </c>
      <c r="H425" s="40" t="s">
        <v>1389</v>
      </c>
      <c r="I425" s="38" t="s">
        <v>1390</v>
      </c>
      <c r="J425" s="38" t="s">
        <v>26</v>
      </c>
      <c r="K425" s="41">
        <v>0</v>
      </c>
      <c r="L425" s="41">
        <v>467.98</v>
      </c>
      <c r="M425" s="41">
        <v>235</v>
      </c>
      <c r="N425" s="11">
        <f>(Table1[[#This Row],[NTE Approved ]]-Table1[[#This Row],[Cost]])/Table1[[#This Row],[Cost]]</f>
        <v>0.991404255319149</v>
      </c>
      <c r="O425" s="40" t="s">
        <v>1391</v>
      </c>
      <c r="P425" s="38" t="s">
        <v>28</v>
      </c>
      <c r="Q425" s="39"/>
      <c r="R425" s="38"/>
      <c r="S425" s="38"/>
      <c r="T425" s="8">
        <v>46099</v>
      </c>
    </row>
    <row r="426" spans="1:153" ht="43.2" x14ac:dyDescent="0.3">
      <c r="A426" s="9">
        <v>343866569</v>
      </c>
      <c r="B426" s="9" t="s">
        <v>20</v>
      </c>
      <c r="C426" s="13">
        <v>46088</v>
      </c>
      <c r="D426" s="13">
        <v>46088</v>
      </c>
      <c r="E426" s="9" t="s">
        <v>1392</v>
      </c>
      <c r="F426" s="9" t="s">
        <v>59</v>
      </c>
      <c r="G426" s="9" t="s">
        <v>317</v>
      </c>
      <c r="H426" s="9" t="s">
        <v>1393</v>
      </c>
      <c r="I426" s="9" t="s">
        <v>1394</v>
      </c>
      <c r="J426" s="9" t="s">
        <v>42</v>
      </c>
      <c r="K426" s="14">
        <v>722.5</v>
      </c>
      <c r="L426" s="14">
        <v>1921.95</v>
      </c>
      <c r="M426" s="14">
        <v>1050</v>
      </c>
      <c r="N426" s="11">
        <f>(Table1[[#This Row],[NTE Approved ]]-Table1[[#This Row],[Cost]])/Table1[[#This Row],[Cost]]</f>
        <v>0.83042857142857152</v>
      </c>
      <c r="O426" s="9" t="s">
        <v>1395</v>
      </c>
      <c r="P426" s="9" t="s">
        <v>28</v>
      </c>
      <c r="Q426" s="13">
        <v>46090</v>
      </c>
      <c r="R426" s="9"/>
      <c r="S426" s="42">
        <v>46092</v>
      </c>
    </row>
    <row r="427" spans="1:153" s="7" customFormat="1" ht="26.25" customHeight="1" x14ac:dyDescent="0.3">
      <c r="A427" s="15">
        <v>343341191</v>
      </c>
      <c r="B427" s="7" t="s">
        <v>73</v>
      </c>
      <c r="C427" s="8">
        <v>46084</v>
      </c>
      <c r="D427" s="8">
        <v>46085</v>
      </c>
      <c r="E427" s="15" t="s">
        <v>1396</v>
      </c>
      <c r="F427" s="7" t="s">
        <v>38</v>
      </c>
      <c r="G427" s="7" t="s">
        <v>82</v>
      </c>
      <c r="H427" s="9" t="s">
        <v>1397</v>
      </c>
      <c r="I427" s="7" t="s">
        <v>1398</v>
      </c>
      <c r="J427" s="7" t="s">
        <v>311</v>
      </c>
      <c r="K427" s="10">
        <v>150</v>
      </c>
      <c r="L427" s="10">
        <v>415</v>
      </c>
      <c r="M427" s="10">
        <v>220</v>
      </c>
      <c r="N427" s="11">
        <f>(Table1[[#This Row],[NTE Approved ]]-Table1[[#This Row],[Cost]])/Table1[[#This Row],[Cost]]</f>
        <v>0.88636363636363635</v>
      </c>
      <c r="O427" s="9" t="s">
        <v>1399</v>
      </c>
      <c r="P427" s="7" t="s">
        <v>28</v>
      </c>
      <c r="Q427" s="8"/>
      <c r="T427" s="8"/>
    </row>
    <row r="428" spans="1:153" s="7" customFormat="1" ht="21.75" customHeight="1" x14ac:dyDescent="0.3">
      <c r="A428" s="15">
        <v>340952691</v>
      </c>
      <c r="B428" s="7" t="s">
        <v>73</v>
      </c>
      <c r="C428" s="8">
        <v>46085</v>
      </c>
      <c r="D428" s="8">
        <v>46086</v>
      </c>
      <c r="E428" s="7" t="s">
        <v>1396</v>
      </c>
      <c r="F428" s="7" t="s">
        <v>45</v>
      </c>
      <c r="G428" s="7" t="s">
        <v>46</v>
      </c>
      <c r="H428" s="9" t="s">
        <v>1400</v>
      </c>
      <c r="I428" s="15" t="s">
        <v>1401</v>
      </c>
      <c r="J428" s="7" t="s">
        <v>49</v>
      </c>
      <c r="K428" s="10">
        <v>150</v>
      </c>
      <c r="L428" s="10">
        <v>415</v>
      </c>
      <c r="M428" s="10">
        <v>225</v>
      </c>
      <c r="N428" s="11">
        <f>(Table1[[#This Row],[NTE Approved ]]-Table1[[#This Row],[Cost]])/Table1[[#This Row],[Cost]]</f>
        <v>0.84444444444444444</v>
      </c>
      <c r="O428" s="9" t="s">
        <v>1402</v>
      </c>
      <c r="P428" s="7" t="s">
        <v>28</v>
      </c>
      <c r="Q428" s="8"/>
      <c r="T428" s="8"/>
    </row>
    <row r="429" spans="1:153" s="7" customFormat="1" ht="24.75" customHeight="1" x14ac:dyDescent="0.3">
      <c r="A429" s="7">
        <v>332945892</v>
      </c>
      <c r="B429" s="7" t="s">
        <v>20</v>
      </c>
      <c r="C429" s="8">
        <v>45993</v>
      </c>
      <c r="D429" s="8">
        <v>45993</v>
      </c>
      <c r="E429" s="7" t="s">
        <v>21</v>
      </c>
      <c r="F429" s="7" t="s">
        <v>22</v>
      </c>
      <c r="G429" s="7" t="s">
        <v>1403</v>
      </c>
      <c r="H429" s="9" t="s">
        <v>895</v>
      </c>
      <c r="I429" s="7" t="s">
        <v>1404</v>
      </c>
      <c r="J429" s="7" t="s">
        <v>216</v>
      </c>
      <c r="K429" s="10">
        <v>750</v>
      </c>
      <c r="L429" s="10">
        <v>749.95</v>
      </c>
      <c r="M429" s="10">
        <v>745</v>
      </c>
      <c r="N429" s="11">
        <f>(Table1[[#This Row],[NTE Approved ]]-Table1[[#This Row],[Cost]])/Table1[[#This Row],[Cost]]</f>
        <v>6.6442953020134842E-3</v>
      </c>
      <c r="O429" s="9" t="s">
        <v>1405</v>
      </c>
      <c r="P429" s="7" t="s">
        <v>28</v>
      </c>
      <c r="Q429" s="8"/>
      <c r="T429" s="8">
        <v>46099</v>
      </c>
    </row>
    <row r="430" spans="1:153" s="7" customFormat="1" ht="24.75" customHeight="1" x14ac:dyDescent="0.3">
      <c r="A430" s="7">
        <v>339503569</v>
      </c>
      <c r="B430" s="7" t="s">
        <v>91</v>
      </c>
      <c r="C430" s="8">
        <v>46051</v>
      </c>
      <c r="D430" s="8">
        <v>46051</v>
      </c>
      <c r="E430" s="7" t="s">
        <v>21</v>
      </c>
      <c r="F430" s="7" t="s">
        <v>30</v>
      </c>
      <c r="G430" s="7" t="s">
        <v>1406</v>
      </c>
      <c r="H430" s="7" t="s">
        <v>1407</v>
      </c>
      <c r="I430" s="7" t="s">
        <v>1408</v>
      </c>
      <c r="J430" s="7" t="s">
        <v>42</v>
      </c>
      <c r="K430" s="10">
        <v>750</v>
      </c>
      <c r="L430" s="10">
        <v>361.97</v>
      </c>
      <c r="M430" s="10">
        <v>75</v>
      </c>
      <c r="N430" s="11">
        <f>(Table1[[#This Row],[NTE Approved ]]-Table1[[#This Row],[Cost]])/Table1[[#This Row],[Cost]]</f>
        <v>3.8262666666666671</v>
      </c>
      <c r="O430" s="7" t="s">
        <v>1409</v>
      </c>
      <c r="P430" s="7" t="s">
        <v>28</v>
      </c>
      <c r="Q430" s="8"/>
      <c r="T430" s="8">
        <v>46092</v>
      </c>
    </row>
    <row r="431" spans="1:153" ht="29.25" customHeight="1" x14ac:dyDescent="0.3">
      <c r="A431" s="43">
        <v>340095189</v>
      </c>
      <c r="B431" s="43" t="s">
        <v>20</v>
      </c>
      <c r="C431" s="44">
        <v>46055</v>
      </c>
      <c r="D431" s="44">
        <v>46055</v>
      </c>
      <c r="E431" s="43" t="s">
        <v>21</v>
      </c>
      <c r="F431" s="43" t="s">
        <v>59</v>
      </c>
      <c r="G431" s="43" t="s">
        <v>1410</v>
      </c>
      <c r="H431" s="45" t="s">
        <v>1411</v>
      </c>
      <c r="I431" s="43" t="s">
        <v>1412</v>
      </c>
      <c r="J431" s="43" t="str" cm="1">
        <f t="array" ref="J431">INDEX(_xlfn.TEXTSPLIT($H431, " "), COLUMNS(_xlfn.TEXTSPLIT($H431, " ")) - 2)</f>
        <v>VT</v>
      </c>
      <c r="K431" s="46">
        <v>1000</v>
      </c>
      <c r="L431" s="46">
        <v>997.92</v>
      </c>
      <c r="M431" s="46">
        <v>200</v>
      </c>
      <c r="N431" s="47">
        <f>($L431-$M431)/$M431</f>
        <v>3.9895999999999998</v>
      </c>
      <c r="O431" s="45" t="s">
        <v>1413</v>
      </c>
      <c r="P431" s="43" t="s">
        <v>28</v>
      </c>
      <c r="Q431" s="44"/>
      <c r="R431" s="43"/>
      <c r="S431" s="43"/>
      <c r="T431" s="8">
        <v>46099</v>
      </c>
    </row>
    <row r="432" spans="1:153" ht="29.25" customHeight="1" x14ac:dyDescent="0.3">
      <c r="A432" s="48">
        <v>335056141</v>
      </c>
      <c r="B432" s="48" t="s">
        <v>20</v>
      </c>
      <c r="C432" s="49">
        <v>46028</v>
      </c>
      <c r="D432" s="49">
        <v>46030</v>
      </c>
      <c r="E432" s="48" t="s">
        <v>21</v>
      </c>
      <c r="F432" s="48" t="s">
        <v>38</v>
      </c>
      <c r="G432" s="48" t="s">
        <v>1414</v>
      </c>
      <c r="H432" s="50" t="s">
        <v>1415</v>
      </c>
      <c r="I432" s="48" t="str" cm="1">
        <f t="array" ref="I432">PROPER(INDEX(_xlfn.TEXTSPLIT($H432, " "), 9))</f>
        <v>Fairview</v>
      </c>
      <c r="J432" s="48" t="str" cm="1">
        <f t="array" ref="J432">INDEX(_xlfn.TEXTSPLIT($H432, " "), COLUMNS(_xlfn.TEXTSPLIT($H432, " ")) - 2)</f>
        <v>IL</v>
      </c>
      <c r="K432" s="51">
        <v>750</v>
      </c>
      <c r="L432" s="51">
        <v>150</v>
      </c>
      <c r="M432" s="51">
        <v>0</v>
      </c>
      <c r="N432" s="52">
        <v>1</v>
      </c>
      <c r="O432" s="50" t="s">
        <v>1416</v>
      </c>
      <c r="P432" s="48" t="s">
        <v>51</v>
      </c>
      <c r="Q432" s="49"/>
      <c r="R432" s="48"/>
      <c r="S432" s="48"/>
      <c r="T432" s="8">
        <v>46100</v>
      </c>
    </row>
    <row r="433" spans="1:20" ht="29.25" customHeight="1" x14ac:dyDescent="0.3">
      <c r="A433" s="43">
        <v>338967409</v>
      </c>
      <c r="B433" s="43" t="s">
        <v>20</v>
      </c>
      <c r="C433" s="44">
        <v>46048</v>
      </c>
      <c r="D433" s="44">
        <v>46048</v>
      </c>
      <c r="E433" s="43" t="s">
        <v>21</v>
      </c>
      <c r="F433" s="43" t="s">
        <v>59</v>
      </c>
      <c r="G433" s="43" t="s">
        <v>138</v>
      </c>
      <c r="H433" s="45" t="s">
        <v>1417</v>
      </c>
      <c r="I433" s="43" t="str" cm="1">
        <f t="array" ref="I433">PROPER(INDEX(_xlfn.TEXTSPLIT($H433, " "), 9))</f>
        <v>Orland</v>
      </c>
      <c r="J433" s="43" t="str" cm="1">
        <f t="array" ref="J433">INDEX(_xlfn.TEXTSPLIT($H433, " "), COLUMNS(_xlfn.TEXTSPLIT($H433, " ")) - 2)</f>
        <v>IL</v>
      </c>
      <c r="K433" s="46">
        <v>500</v>
      </c>
      <c r="L433" s="46">
        <v>225</v>
      </c>
      <c r="M433" s="46">
        <v>3200</v>
      </c>
      <c r="N433" s="47">
        <v>1</v>
      </c>
      <c r="O433" s="45" t="s">
        <v>1418</v>
      </c>
      <c r="P433" s="43" t="s">
        <v>51</v>
      </c>
      <c r="Q433" s="44"/>
      <c r="R433" s="43" t="s">
        <v>1419</v>
      </c>
      <c r="S433" s="43"/>
      <c r="T433" s="8">
        <v>46100</v>
      </c>
    </row>
    <row r="434" spans="1:20" ht="29.25" customHeight="1" x14ac:dyDescent="0.3">
      <c r="A434" s="53">
        <v>341219450</v>
      </c>
      <c r="B434" s="48" t="s">
        <v>91</v>
      </c>
      <c r="C434" s="49">
        <v>46071</v>
      </c>
      <c r="D434" s="49">
        <v>46073</v>
      </c>
      <c r="E434" s="48" t="s">
        <v>21</v>
      </c>
      <c r="F434" s="48" t="s">
        <v>22</v>
      </c>
      <c r="G434" s="48" t="s">
        <v>466</v>
      </c>
      <c r="H434" s="50" t="s">
        <v>1420</v>
      </c>
      <c r="I434" s="48" t="str" cm="1">
        <f t="array" ref="I434">PROPER(INDEX(_xlfn.TEXTSPLIT($H434, " "), 9))</f>
        <v>Hamburg</v>
      </c>
      <c r="J434" s="48" t="str" cm="1">
        <f t="array" ref="J434">INDEX(_xlfn.TEXTSPLIT($H434, " "), COLUMNS(_xlfn.TEXTSPLIT($H434, " ")) - 2)</f>
        <v>NY</v>
      </c>
      <c r="K434" s="51">
        <v>250</v>
      </c>
      <c r="L434" s="51">
        <v>244.69</v>
      </c>
      <c r="M434" s="51">
        <v>125</v>
      </c>
      <c r="N434" s="52">
        <f>($L434-$M434)/$M434</f>
        <v>0.95751999999999993</v>
      </c>
      <c r="O434" s="50" t="s">
        <v>1421</v>
      </c>
      <c r="P434" s="48" t="s">
        <v>28</v>
      </c>
      <c r="Q434" s="49"/>
      <c r="R434" s="48"/>
      <c r="S434" s="48"/>
      <c r="T434" s="8">
        <v>46092</v>
      </c>
    </row>
    <row r="435" spans="1:20" ht="27.75" customHeight="1" x14ac:dyDescent="0.3">
      <c r="A435" s="48">
        <v>340885110</v>
      </c>
      <c r="B435" s="48" t="s">
        <v>20</v>
      </c>
      <c r="C435" s="49">
        <v>46063</v>
      </c>
      <c r="D435" s="49">
        <v>46072</v>
      </c>
      <c r="E435" s="48" t="s">
        <v>21</v>
      </c>
      <c r="F435" s="48" t="s">
        <v>361</v>
      </c>
      <c r="G435" s="48" t="s">
        <v>1422</v>
      </c>
      <c r="H435" s="50" t="s">
        <v>1423</v>
      </c>
      <c r="I435" s="48" t="s">
        <v>1424</v>
      </c>
      <c r="J435" s="48" t="str" cm="1">
        <f t="array" ref="J435">INDEX(_xlfn.TEXTSPLIT($H435, " "), COLUMNS(_xlfn.TEXTSPLIT($H435, " ")) - 2)</f>
        <v>NV</v>
      </c>
      <c r="K435" s="51">
        <v>1000</v>
      </c>
      <c r="L435" s="51">
        <v>150</v>
      </c>
      <c r="M435" s="51">
        <v>0</v>
      </c>
      <c r="N435" s="52">
        <v>1</v>
      </c>
      <c r="O435" s="50" t="s">
        <v>1425</v>
      </c>
      <c r="P435" s="48" t="s">
        <v>51</v>
      </c>
      <c r="Q435" s="49"/>
      <c r="R435" s="48"/>
      <c r="S435" s="48"/>
      <c r="T435" s="8">
        <v>46100</v>
      </c>
    </row>
    <row r="436" spans="1:20" ht="27.75" customHeight="1" x14ac:dyDescent="0.3">
      <c r="A436" s="43">
        <v>340565009</v>
      </c>
      <c r="B436" s="43" t="s">
        <v>80</v>
      </c>
      <c r="C436" s="44">
        <v>46069</v>
      </c>
      <c r="D436" s="44">
        <v>46081</v>
      </c>
      <c r="E436" s="43" t="s">
        <v>21</v>
      </c>
      <c r="F436" s="43" t="s">
        <v>759</v>
      </c>
      <c r="G436" s="43" t="s">
        <v>1426</v>
      </c>
      <c r="H436" s="45" t="s">
        <v>968</v>
      </c>
      <c r="I436" s="43" t="s">
        <v>1424</v>
      </c>
      <c r="J436" s="43" t="str" cm="1">
        <f t="array" ref="J436">INDEX(_xlfn.TEXTSPLIT($H436, " "), COLUMNS(_xlfn.TEXTSPLIT($H436, " ")) - 2)</f>
        <v>NV</v>
      </c>
      <c r="K436" s="46">
        <v>500</v>
      </c>
      <c r="L436" s="46">
        <v>2121</v>
      </c>
      <c r="M436" s="46">
        <v>1200</v>
      </c>
      <c r="N436" s="47">
        <f>($L436-$M436)/$M436</f>
        <v>0.76749999999999996</v>
      </c>
      <c r="O436" s="45" t="s">
        <v>1427</v>
      </c>
      <c r="P436" s="43" t="s">
        <v>28</v>
      </c>
      <c r="Q436" s="44"/>
      <c r="R436" s="43"/>
      <c r="S436" s="43"/>
      <c r="T436" s="8">
        <v>46084</v>
      </c>
    </row>
    <row r="437" spans="1:20" ht="27.75" customHeight="1" x14ac:dyDescent="0.3">
      <c r="A437" s="48">
        <v>339389648</v>
      </c>
      <c r="B437" s="48" t="s">
        <v>1217</v>
      </c>
      <c r="C437" s="49">
        <v>46064</v>
      </c>
      <c r="D437" s="49">
        <v>46073</v>
      </c>
      <c r="E437" s="48" t="s">
        <v>21</v>
      </c>
      <c r="F437" s="48" t="s">
        <v>759</v>
      </c>
      <c r="G437" s="48" t="s">
        <v>1426</v>
      </c>
      <c r="H437" s="50" t="s">
        <v>1428</v>
      </c>
      <c r="I437" s="48" t="str" cm="1">
        <f t="array" ref="I437">PROPER(INDEX(_xlfn.TEXTSPLIT($H437, " "), 9))</f>
        <v>Cartersville</v>
      </c>
      <c r="J437" s="48" t="str" cm="1">
        <f t="array" ref="J437">INDEX(_xlfn.TEXTSPLIT($H437, " "), COLUMNS(_xlfn.TEXTSPLIT($H437, " ")) - 2)</f>
        <v>GA</v>
      </c>
      <c r="K437" s="51">
        <v>500</v>
      </c>
      <c r="L437" s="51">
        <v>1516.08</v>
      </c>
      <c r="M437" s="51">
        <v>800</v>
      </c>
      <c r="N437" s="52">
        <f>($L437-$M437)/$M437</f>
        <v>0.8950999999999999</v>
      </c>
      <c r="O437" s="50" t="s">
        <v>1429</v>
      </c>
      <c r="P437" s="48" t="s">
        <v>28</v>
      </c>
      <c r="Q437" s="49"/>
      <c r="R437" s="48" t="s">
        <v>1419</v>
      </c>
      <c r="S437" s="48"/>
      <c r="T437" s="8">
        <v>46092</v>
      </c>
    </row>
    <row r="438" spans="1:20" ht="27.75" customHeight="1" x14ac:dyDescent="0.3">
      <c r="A438" s="54">
        <v>342684912</v>
      </c>
      <c r="B438" s="43" t="s">
        <v>20</v>
      </c>
      <c r="C438" s="44">
        <v>46080</v>
      </c>
      <c r="D438" s="44">
        <v>46084</v>
      </c>
      <c r="E438" s="43" t="s">
        <v>21</v>
      </c>
      <c r="F438" s="43" t="s">
        <v>22</v>
      </c>
      <c r="G438" s="43" t="s">
        <v>224</v>
      </c>
      <c r="H438" s="45" t="s">
        <v>1430</v>
      </c>
      <c r="I438" s="43" t="str" cm="1">
        <f t="array" ref="I438">PROPER(INDEX(_xlfn.TEXTSPLIT($H438, " "), 9))</f>
        <v>Sanford</v>
      </c>
      <c r="J438" s="43" t="str" cm="1">
        <f t="array" ref="J438">INDEX(_xlfn.TEXTSPLIT($H438, " "), COLUMNS(_xlfn.TEXTSPLIT($H438, " ")) - 2)</f>
        <v>FL</v>
      </c>
      <c r="K438" s="46">
        <v>1500</v>
      </c>
      <c r="L438" s="55">
        <v>150</v>
      </c>
      <c r="M438" s="46">
        <v>85</v>
      </c>
      <c r="N438" s="47">
        <v>1</v>
      </c>
      <c r="O438" s="45" t="s">
        <v>1431</v>
      </c>
      <c r="P438" s="43" t="s">
        <v>51</v>
      </c>
      <c r="Q438" s="44"/>
      <c r="R438" s="43"/>
      <c r="S438" s="43"/>
      <c r="T438" s="8">
        <v>46100</v>
      </c>
    </row>
    <row r="439" spans="1:20" ht="27.75" customHeight="1" x14ac:dyDescent="0.3">
      <c r="A439" s="53">
        <v>341965078</v>
      </c>
      <c r="B439" s="48" t="s">
        <v>1120</v>
      </c>
      <c r="C439" s="49">
        <v>46073</v>
      </c>
      <c r="D439" s="49">
        <v>46077</v>
      </c>
      <c r="E439" s="48" t="s">
        <v>21</v>
      </c>
      <c r="F439" s="48" t="s">
        <v>1432</v>
      </c>
      <c r="G439" s="48" t="s">
        <v>1174</v>
      </c>
      <c r="H439" s="53" t="s">
        <v>1433</v>
      </c>
      <c r="I439" s="48" t="str" cm="1">
        <f t="array" ref="I439">PROPER(INDEX(_xlfn.TEXTSPLIT($H439, " "), 9))</f>
        <v>Morgantown</v>
      </c>
      <c r="J439" s="48" t="str" cm="1">
        <f t="array" ref="J439">INDEX(_xlfn.TEXTSPLIT($H439, " "), COLUMNS(_xlfn.TEXTSPLIT($H439, " ")) - 2)</f>
        <v>KY</v>
      </c>
      <c r="K439" s="51">
        <v>550</v>
      </c>
      <c r="L439" s="56">
        <v>822.18</v>
      </c>
      <c r="M439" s="51">
        <v>450</v>
      </c>
      <c r="N439" s="52">
        <f t="shared" ref="N439:N447" si="0">($L439-$M439)/$M439</f>
        <v>0.82706666666666651</v>
      </c>
      <c r="O439" s="50" t="s">
        <v>1434</v>
      </c>
      <c r="P439" s="48" t="s">
        <v>28</v>
      </c>
      <c r="Q439" s="49"/>
      <c r="R439" s="48"/>
      <c r="S439" s="48"/>
      <c r="T439" s="8">
        <v>46092</v>
      </c>
    </row>
    <row r="440" spans="1:20" ht="27.75" customHeight="1" x14ac:dyDescent="0.3">
      <c r="A440" s="54">
        <v>343413291</v>
      </c>
      <c r="B440" s="43" t="s">
        <v>29</v>
      </c>
      <c r="C440" s="44">
        <v>46084</v>
      </c>
      <c r="D440" s="44">
        <v>46084</v>
      </c>
      <c r="E440" s="43" t="s">
        <v>21</v>
      </c>
      <c r="F440" s="43" t="s">
        <v>59</v>
      </c>
      <c r="G440" s="43" t="s">
        <v>1435</v>
      </c>
      <c r="H440" s="54" t="s">
        <v>1436</v>
      </c>
      <c r="I440" s="43" t="str" cm="1">
        <f t="array" ref="I440">PROPER(INDEX(_xlfn.TEXTSPLIT($H440, " "), 9))</f>
        <v>Swainsboro</v>
      </c>
      <c r="J440" s="43" t="str" cm="1">
        <f t="array" ref="J440">INDEX(_xlfn.TEXTSPLIT($H440, " "), COLUMNS(_xlfn.TEXTSPLIT($H440, " ")) - 2)</f>
        <v>GA</v>
      </c>
      <c r="K440" s="46">
        <v>600</v>
      </c>
      <c r="L440" s="46">
        <v>553.16999999999996</v>
      </c>
      <c r="M440" s="46">
        <v>250</v>
      </c>
      <c r="N440" s="47">
        <f t="shared" si="0"/>
        <v>1.2126799999999998</v>
      </c>
      <c r="O440" s="45" t="s">
        <v>1437</v>
      </c>
      <c r="P440" s="43" t="s">
        <v>28</v>
      </c>
      <c r="Q440" s="44"/>
      <c r="R440" s="43"/>
      <c r="S440" s="43"/>
      <c r="T440" s="8">
        <v>46098</v>
      </c>
    </row>
    <row r="441" spans="1:20" ht="27.75" customHeight="1" x14ac:dyDescent="0.3">
      <c r="A441" s="43">
        <v>342046650</v>
      </c>
      <c r="B441" s="43" t="s">
        <v>20</v>
      </c>
      <c r="C441" s="44">
        <v>46079</v>
      </c>
      <c r="D441" s="44">
        <v>46084</v>
      </c>
      <c r="E441" s="43" t="s">
        <v>21</v>
      </c>
      <c r="F441" s="43" t="s">
        <v>30</v>
      </c>
      <c r="G441" s="43" t="s">
        <v>1438</v>
      </c>
      <c r="H441" s="45" t="s">
        <v>1439</v>
      </c>
      <c r="I441" s="43" t="str" cm="1">
        <f t="array" ref="I441">PROPER(INDEX(_xlfn.TEXTSPLIT($H441, " "), 9))</f>
        <v>Virginia</v>
      </c>
      <c r="J441" s="43" t="str" cm="1">
        <f t="array" ref="J441">INDEX(_xlfn.TEXTSPLIT($H441, " "), COLUMNS(_xlfn.TEXTSPLIT($H441, " ")) - 2)</f>
        <v>VA</v>
      </c>
      <c r="K441" s="46">
        <v>550</v>
      </c>
      <c r="L441" s="46">
        <v>523.92999999999995</v>
      </c>
      <c r="M441" s="46">
        <v>250</v>
      </c>
      <c r="N441" s="47">
        <f t="shared" si="0"/>
        <v>1.0957199999999998</v>
      </c>
      <c r="O441" s="45" t="s">
        <v>1440</v>
      </c>
      <c r="P441" s="43" t="s">
        <v>28</v>
      </c>
      <c r="Q441" s="44"/>
      <c r="R441" s="43"/>
      <c r="S441" s="43"/>
      <c r="T441" s="8">
        <v>46099</v>
      </c>
    </row>
    <row r="442" spans="1:20" ht="27.75" customHeight="1" x14ac:dyDescent="0.3">
      <c r="A442" s="48">
        <v>335791061</v>
      </c>
      <c r="B442" s="48" t="s">
        <v>20</v>
      </c>
      <c r="C442" s="49">
        <v>46013</v>
      </c>
      <c r="D442" s="49">
        <v>46014</v>
      </c>
      <c r="E442" s="48" t="s">
        <v>21</v>
      </c>
      <c r="F442" s="48" t="s">
        <v>59</v>
      </c>
      <c r="G442" s="48" t="s">
        <v>138</v>
      </c>
      <c r="H442" s="50" t="s">
        <v>1441</v>
      </c>
      <c r="I442" s="48" t="str" cm="1">
        <f t="array" ref="I442">PROPER(INDEX(_xlfn.TEXTSPLIT($H442, " "), 9))</f>
        <v>Belfair</v>
      </c>
      <c r="J442" s="48" t="str" cm="1">
        <f t="array" ref="J442">INDEX(_xlfn.TEXTSPLIT($H442, " "), COLUMNS(_xlfn.TEXTSPLIT($H442, " ")) - 2)</f>
        <v>WA</v>
      </c>
      <c r="K442" s="51">
        <v>450</v>
      </c>
      <c r="L442" s="51">
        <v>3189.55</v>
      </c>
      <c r="M442" s="51">
        <v>1820</v>
      </c>
      <c r="N442" s="52">
        <f t="shared" si="0"/>
        <v>0.75250000000000006</v>
      </c>
      <c r="O442" s="50" t="s">
        <v>1442</v>
      </c>
      <c r="P442" s="48" t="s">
        <v>28</v>
      </c>
      <c r="Q442" s="49"/>
      <c r="R442" s="48"/>
      <c r="S442" s="48"/>
      <c r="T442" s="8">
        <v>46092</v>
      </c>
    </row>
    <row r="443" spans="1:20" ht="27.75" customHeight="1" x14ac:dyDescent="0.3">
      <c r="A443" s="43">
        <v>342019503</v>
      </c>
      <c r="B443" s="43" t="s">
        <v>1120</v>
      </c>
      <c r="C443" s="44">
        <v>46076</v>
      </c>
      <c r="D443" s="44">
        <v>46076</v>
      </c>
      <c r="E443" s="43" t="s">
        <v>21</v>
      </c>
      <c r="F443" s="43" t="s">
        <v>59</v>
      </c>
      <c r="G443" s="43" t="s">
        <v>472</v>
      </c>
      <c r="H443" s="45" t="s">
        <v>714</v>
      </c>
      <c r="I443" s="43" t="str" cm="1">
        <f t="array" ref="I443">PROPER(INDEX(_xlfn.TEXTSPLIT($H443, " "), 9))</f>
        <v>Thatcher</v>
      </c>
      <c r="J443" s="43" t="str" cm="1">
        <f t="array" ref="J443">INDEX(_xlfn.TEXTSPLIT($H443, " "), COLUMNS(_xlfn.TEXTSPLIT($H443, " ")) - 2)</f>
        <v>AZ</v>
      </c>
      <c r="K443" s="46">
        <v>0</v>
      </c>
      <c r="L443" s="46">
        <v>508.84</v>
      </c>
      <c r="M443" s="46">
        <v>500</v>
      </c>
      <c r="N443" s="47">
        <f t="shared" si="0"/>
        <v>1.7679999999999949E-2</v>
      </c>
      <c r="O443" s="45" t="s">
        <v>1443</v>
      </c>
      <c r="P443" s="43" t="s">
        <v>28</v>
      </c>
      <c r="Q443" s="44"/>
      <c r="R443" s="43" t="s">
        <v>1419</v>
      </c>
      <c r="S443" s="43"/>
      <c r="T443" s="8">
        <v>46085</v>
      </c>
    </row>
    <row r="444" spans="1:20" ht="27.75" customHeight="1" x14ac:dyDescent="0.3">
      <c r="A444" s="48">
        <v>341616986</v>
      </c>
      <c r="B444" s="48" t="s">
        <v>29</v>
      </c>
      <c r="C444" s="49">
        <v>46070</v>
      </c>
      <c r="D444" s="49">
        <v>46071</v>
      </c>
      <c r="E444" s="48" t="s">
        <v>21</v>
      </c>
      <c r="F444" s="48" t="s">
        <v>30</v>
      </c>
      <c r="G444" s="48" t="s">
        <v>1406</v>
      </c>
      <c r="H444" s="50" t="s">
        <v>1444</v>
      </c>
      <c r="I444" s="48" t="str" cm="1">
        <f t="array" ref="I444">PROPER(INDEX(_xlfn.TEXTSPLIT($H444, " "), 9))</f>
        <v>Ithaca</v>
      </c>
      <c r="J444" s="48" t="str" cm="1">
        <f t="array" ref="J444">INDEX(_xlfn.TEXTSPLIT($H444, " "), COLUMNS(_xlfn.TEXTSPLIT($H444, " ")) - 2)</f>
        <v>NY</v>
      </c>
      <c r="K444" s="51">
        <v>750</v>
      </c>
      <c r="L444" s="51">
        <v>735.66</v>
      </c>
      <c r="M444" s="51">
        <v>400</v>
      </c>
      <c r="N444" s="52">
        <f t="shared" si="0"/>
        <v>0.83914999999999995</v>
      </c>
      <c r="O444" s="50" t="s">
        <v>1445</v>
      </c>
      <c r="P444" s="48" t="s">
        <v>28</v>
      </c>
      <c r="Q444" s="49"/>
      <c r="R444" s="48"/>
      <c r="S444" s="48"/>
      <c r="T444" s="8">
        <v>46098</v>
      </c>
    </row>
    <row r="445" spans="1:20" ht="27.75" customHeight="1" x14ac:dyDescent="0.3">
      <c r="A445" s="43">
        <v>340282138</v>
      </c>
      <c r="B445" s="43" t="s">
        <v>163</v>
      </c>
      <c r="C445" s="44">
        <v>46056</v>
      </c>
      <c r="D445" s="44">
        <v>46065</v>
      </c>
      <c r="E445" s="43" t="s">
        <v>21</v>
      </c>
      <c r="F445" s="43" t="s">
        <v>59</v>
      </c>
      <c r="G445" s="43" t="s">
        <v>164</v>
      </c>
      <c r="H445" s="45" t="s">
        <v>1446</v>
      </c>
      <c r="I445" s="43" t="str" cm="1">
        <f t="array" ref="I445">PROPER(INDEX(_xlfn.TEXTSPLIT($H445, " "), 9))</f>
        <v>Sumter</v>
      </c>
      <c r="J445" s="43" t="str" cm="1">
        <f t="array" ref="J445">INDEX(_xlfn.TEXTSPLIT($H445, " "), COLUMNS(_xlfn.TEXTSPLIT($H445, " ")) - 2)</f>
        <v>SC</v>
      </c>
      <c r="K445" s="46">
        <v>750</v>
      </c>
      <c r="L445" s="46">
        <v>1080</v>
      </c>
      <c r="M445" s="46">
        <v>425</v>
      </c>
      <c r="N445" s="47">
        <f t="shared" si="0"/>
        <v>1.5411764705882354</v>
      </c>
      <c r="O445" s="45" t="s">
        <v>1447</v>
      </c>
      <c r="P445" s="43" t="s">
        <v>28</v>
      </c>
      <c r="Q445" s="44"/>
      <c r="R445" s="43"/>
      <c r="S445" s="43"/>
      <c r="T445" s="8">
        <v>46085</v>
      </c>
    </row>
    <row r="446" spans="1:20" ht="27.75" customHeight="1" x14ac:dyDescent="0.3">
      <c r="A446" s="45">
        <v>343320811</v>
      </c>
      <c r="B446" s="45" t="s">
        <v>20</v>
      </c>
      <c r="C446" s="57">
        <v>46083</v>
      </c>
      <c r="D446" s="57">
        <v>46083</v>
      </c>
      <c r="E446" s="45" t="s">
        <v>21</v>
      </c>
      <c r="F446" s="45" t="s">
        <v>59</v>
      </c>
      <c r="G446" s="45" t="s">
        <v>237</v>
      </c>
      <c r="H446" s="45" t="s">
        <v>1448</v>
      </c>
      <c r="I446" s="58" t="s">
        <v>1449</v>
      </c>
      <c r="J446" s="45" t="str" cm="1">
        <f t="array" ref="J446">INDEX(_xlfn.TEXTSPLIT($H446, " "), COLUMNS(_xlfn.TEXTSPLIT($H446, " ")) - 2)</f>
        <v>AL</v>
      </c>
      <c r="K446" s="59">
        <v>850</v>
      </c>
      <c r="L446" s="59">
        <v>1138.6600000000001</v>
      </c>
      <c r="M446" s="59">
        <v>1063.5</v>
      </c>
      <c r="N446" s="60">
        <f t="shared" si="0"/>
        <v>7.0672308415608912E-2</v>
      </c>
      <c r="O446" s="45" t="s">
        <v>1450</v>
      </c>
      <c r="P446" s="45" t="s">
        <v>28</v>
      </c>
      <c r="Q446" s="57"/>
      <c r="R446" s="45"/>
      <c r="S446" s="43"/>
      <c r="T446" s="8">
        <v>46093</v>
      </c>
    </row>
    <row r="447" spans="1:20" ht="27.75" customHeight="1" x14ac:dyDescent="0.3">
      <c r="A447" s="50">
        <v>336535165</v>
      </c>
      <c r="B447" s="50" t="s">
        <v>163</v>
      </c>
      <c r="C447" s="61">
        <v>46027</v>
      </c>
      <c r="D447" s="61">
        <v>46029</v>
      </c>
      <c r="E447" s="50" t="s">
        <v>21</v>
      </c>
      <c r="F447" s="50" t="s">
        <v>59</v>
      </c>
      <c r="G447" s="50" t="s">
        <v>600</v>
      </c>
      <c r="H447" s="50" t="s">
        <v>1451</v>
      </c>
      <c r="I447" s="50" t="str" cm="1">
        <f t="array" ref="I447">PROPER(INDEX(_xlfn.TEXTSPLIT($H447, " "), 9))</f>
        <v>Madera</v>
      </c>
      <c r="J447" s="50" t="str" cm="1">
        <f t="array" ref="J447">INDEX(_xlfn.TEXTSPLIT($H447, " "), COLUMNS(_xlfn.TEXTSPLIT($H447, " ")) - 2)</f>
        <v>CA</v>
      </c>
      <c r="K447" s="62">
        <v>700</v>
      </c>
      <c r="L447" s="62">
        <v>5444.98</v>
      </c>
      <c r="M447" s="62">
        <v>2910</v>
      </c>
      <c r="N447" s="63">
        <f t="shared" si="0"/>
        <v>0.87112714776632283</v>
      </c>
      <c r="O447" s="50" t="s">
        <v>1452</v>
      </c>
      <c r="P447" s="50" t="s">
        <v>28</v>
      </c>
      <c r="Q447" s="61"/>
      <c r="R447" s="50"/>
      <c r="S447" s="48"/>
      <c r="T447" s="8">
        <v>46104</v>
      </c>
    </row>
    <row r="448" spans="1:20" ht="27.75" customHeight="1" x14ac:dyDescent="0.3">
      <c r="A448" s="45">
        <v>341668337</v>
      </c>
      <c r="B448" s="45" t="s">
        <v>20</v>
      </c>
      <c r="C448" s="57">
        <v>46071</v>
      </c>
      <c r="D448" s="57">
        <v>46071</v>
      </c>
      <c r="E448" s="45" t="s">
        <v>21</v>
      </c>
      <c r="F448" s="45" t="s">
        <v>59</v>
      </c>
      <c r="G448" s="45" t="s">
        <v>60</v>
      </c>
      <c r="H448" s="45" t="s">
        <v>1453</v>
      </c>
      <c r="I448" s="45" t="str" cm="1">
        <f t="array" ref="I448">PROPER(INDEX(_xlfn.TEXTSPLIT($H448, " "), 9))</f>
        <v>Dickson</v>
      </c>
      <c r="J448" s="45" t="str" cm="1">
        <f t="array" ref="J448">INDEX(_xlfn.TEXTSPLIT($H448, " "), COLUMNS(_xlfn.TEXTSPLIT($H448, " ")) - 2)</f>
        <v>TN</v>
      </c>
      <c r="K448" s="59">
        <v>550</v>
      </c>
      <c r="L448" s="59">
        <v>225</v>
      </c>
      <c r="M448" s="59">
        <v>0</v>
      </c>
      <c r="N448" s="60">
        <v>1</v>
      </c>
      <c r="O448" s="45" t="s">
        <v>1454</v>
      </c>
      <c r="P448" s="45" t="s">
        <v>51</v>
      </c>
      <c r="Q448" s="57"/>
      <c r="R448" s="45"/>
      <c r="S448" s="43"/>
      <c r="T448" s="8">
        <v>46100</v>
      </c>
    </row>
    <row r="449" spans="1:20" ht="27" customHeight="1" x14ac:dyDescent="0.3">
      <c r="A449" s="45">
        <v>342533960</v>
      </c>
      <c r="B449" s="45" t="s">
        <v>80</v>
      </c>
      <c r="C449" s="57">
        <v>46078</v>
      </c>
      <c r="D449" s="57">
        <v>46087</v>
      </c>
      <c r="E449" s="45" t="s">
        <v>21</v>
      </c>
      <c r="F449" s="45" t="s">
        <v>38</v>
      </c>
      <c r="G449" s="45" t="s">
        <v>433</v>
      </c>
      <c r="H449" s="45" t="s">
        <v>1455</v>
      </c>
      <c r="I449" s="45" t="str" cm="1">
        <f t="array" ref="I449">PROPER(INDEX(_xlfn.TEXTSPLIT($H449, " "), 9))</f>
        <v>Greensburg</v>
      </c>
      <c r="J449" s="45" t="str" cm="1">
        <f t="array" ref="J449">INDEX(_xlfn.TEXTSPLIT($H449, " "), COLUMNS(_xlfn.TEXTSPLIT($H449, " ")) - 2)</f>
        <v>IN</v>
      </c>
      <c r="K449" s="59">
        <v>550</v>
      </c>
      <c r="L449" s="59">
        <v>548.63</v>
      </c>
      <c r="M449" s="59">
        <v>313.48</v>
      </c>
      <c r="N449" s="60">
        <f t="shared" ref="N449:N464" si="1">($L449-$M449)/$M449</f>
        <v>0.75012759984688004</v>
      </c>
      <c r="O449" s="45" t="s">
        <v>436</v>
      </c>
      <c r="P449" s="45" t="s">
        <v>28</v>
      </c>
      <c r="Q449" s="57"/>
      <c r="R449" s="45"/>
      <c r="S449" s="43"/>
      <c r="T449" s="8">
        <v>46098</v>
      </c>
    </row>
    <row r="450" spans="1:20" ht="27" customHeight="1" x14ac:dyDescent="0.3">
      <c r="A450" s="50">
        <v>341671998</v>
      </c>
      <c r="B450" s="50" t="s">
        <v>29</v>
      </c>
      <c r="C450" s="61">
        <v>46071</v>
      </c>
      <c r="D450" s="61">
        <v>46080</v>
      </c>
      <c r="E450" s="50" t="s">
        <v>21</v>
      </c>
      <c r="F450" s="50" t="s">
        <v>59</v>
      </c>
      <c r="G450" s="50" t="s">
        <v>1410</v>
      </c>
      <c r="H450" s="50" t="s">
        <v>483</v>
      </c>
      <c r="I450" s="50" t="str" cm="1">
        <f t="array" ref="I450">PROPER(INDEX(_xlfn.TEXTSPLIT($H450, " "), 9))</f>
        <v>Spokane</v>
      </c>
      <c r="J450" s="50" t="str" cm="1">
        <f t="array" ref="J450">INDEX(_xlfn.TEXTSPLIT($H450, " "), COLUMNS(_xlfn.TEXTSPLIT($H450, " ")) - 2)</f>
        <v>WA</v>
      </c>
      <c r="K450" s="62">
        <v>450</v>
      </c>
      <c r="L450" s="62">
        <v>884.27</v>
      </c>
      <c r="M450" s="62">
        <v>400</v>
      </c>
      <c r="N450" s="63">
        <f t="shared" si="1"/>
        <v>1.2106749999999999</v>
      </c>
      <c r="O450" s="50" t="s">
        <v>1456</v>
      </c>
      <c r="P450" s="50" t="s">
        <v>28</v>
      </c>
      <c r="Q450" s="61"/>
      <c r="R450" s="50"/>
      <c r="S450" s="48"/>
      <c r="T450" s="8">
        <v>46094</v>
      </c>
    </row>
    <row r="451" spans="1:20" ht="29.25" customHeight="1" x14ac:dyDescent="0.3">
      <c r="A451" s="50">
        <v>341625324</v>
      </c>
      <c r="B451" s="50" t="s">
        <v>91</v>
      </c>
      <c r="C451" s="61">
        <v>46070</v>
      </c>
      <c r="D451" s="61">
        <v>46070</v>
      </c>
      <c r="E451" s="50" t="s">
        <v>21</v>
      </c>
      <c r="F451" s="50" t="s">
        <v>30</v>
      </c>
      <c r="G451" s="50" t="s">
        <v>1406</v>
      </c>
      <c r="H451" s="50" t="s">
        <v>1457</v>
      </c>
      <c r="I451" s="50" t="str" cm="1">
        <f t="array" ref="I451">PROPER(INDEX(_xlfn.TEXTSPLIT($H451, " "), 9))</f>
        <v>Rochester</v>
      </c>
      <c r="J451" s="50" t="str" cm="1">
        <f t="array" ref="J451">INDEX(_xlfn.TEXTSPLIT($H451, " "), COLUMNS(_xlfn.TEXTSPLIT($H451, " ")) - 2)</f>
        <v>NY</v>
      </c>
      <c r="K451" s="62">
        <v>750</v>
      </c>
      <c r="L451" s="62">
        <v>324</v>
      </c>
      <c r="M451" s="62">
        <v>65</v>
      </c>
      <c r="N451" s="63">
        <f t="shared" si="1"/>
        <v>3.9846153846153847</v>
      </c>
      <c r="O451" s="50" t="s">
        <v>1458</v>
      </c>
      <c r="P451" s="50" t="s">
        <v>28</v>
      </c>
      <c r="Q451" s="61"/>
      <c r="R451" s="50"/>
      <c r="S451" s="48"/>
      <c r="T451" s="8">
        <v>46093</v>
      </c>
    </row>
    <row r="452" spans="1:20" ht="29.25" customHeight="1" x14ac:dyDescent="0.3">
      <c r="A452" s="45">
        <v>342444641</v>
      </c>
      <c r="B452" s="45" t="s">
        <v>20</v>
      </c>
      <c r="C452" s="57">
        <v>46077</v>
      </c>
      <c r="D452" s="57">
        <v>46081</v>
      </c>
      <c r="E452" s="45" t="s">
        <v>21</v>
      </c>
      <c r="F452" s="45" t="s">
        <v>59</v>
      </c>
      <c r="G452" s="45" t="s">
        <v>237</v>
      </c>
      <c r="H452" s="45" t="s">
        <v>1232</v>
      </c>
      <c r="I452" s="45" t="str" cm="1">
        <f t="array" ref="I452">PROPER(INDEX(_xlfn.TEXTSPLIT($H452, " "), 9))</f>
        <v>Bremerton</v>
      </c>
      <c r="J452" s="45" t="str" cm="1">
        <f t="array" ref="J452">INDEX(_xlfn.TEXTSPLIT($H452, " "), COLUMNS(_xlfn.TEXTSPLIT($H452, " ")) - 2)</f>
        <v>WA</v>
      </c>
      <c r="K452" s="59">
        <v>500</v>
      </c>
      <c r="L452" s="59">
        <v>955.5</v>
      </c>
      <c r="M452" s="59">
        <v>520</v>
      </c>
      <c r="N452" s="60">
        <f t="shared" si="1"/>
        <v>0.83750000000000002</v>
      </c>
      <c r="O452" s="45" t="s">
        <v>1459</v>
      </c>
      <c r="P452" s="45" t="s">
        <v>28</v>
      </c>
      <c r="Q452" s="57"/>
      <c r="R452" s="45"/>
      <c r="S452" s="43"/>
      <c r="T452" s="8">
        <v>46100</v>
      </c>
    </row>
    <row r="453" spans="1:20" ht="29.25" customHeight="1" x14ac:dyDescent="0.3">
      <c r="A453" s="50">
        <v>343567863</v>
      </c>
      <c r="B453" s="50" t="s">
        <v>29</v>
      </c>
      <c r="C453" s="61">
        <v>46085</v>
      </c>
      <c r="D453" s="61">
        <v>46086</v>
      </c>
      <c r="E453" s="50" t="s">
        <v>21</v>
      </c>
      <c r="F453" s="50" t="s">
        <v>59</v>
      </c>
      <c r="G453" s="50" t="s">
        <v>472</v>
      </c>
      <c r="H453" s="50" t="s">
        <v>906</v>
      </c>
      <c r="I453" s="50" t="str" cm="1">
        <f t="array" ref="I453">PROPER(INDEX(_xlfn.TEXTSPLIT($H453, " "), 9))</f>
        <v>Reno</v>
      </c>
      <c r="J453" s="50" t="str" cm="1">
        <f t="array" ref="J453">INDEX(_xlfn.TEXTSPLIT($H453, " "), COLUMNS(_xlfn.TEXTSPLIT($H453, " ")) - 2)</f>
        <v>NV</v>
      </c>
      <c r="K453" s="62">
        <v>350</v>
      </c>
      <c r="L453" s="62">
        <v>350</v>
      </c>
      <c r="M453" s="62">
        <v>200</v>
      </c>
      <c r="N453" s="63">
        <f t="shared" si="1"/>
        <v>0.75</v>
      </c>
      <c r="O453" s="50" t="s">
        <v>1460</v>
      </c>
      <c r="P453" s="50" t="s">
        <v>28</v>
      </c>
      <c r="Q453" s="61"/>
      <c r="R453" s="50"/>
      <c r="S453" s="48"/>
      <c r="T453" s="8">
        <v>46097</v>
      </c>
    </row>
    <row r="454" spans="1:20" ht="29.25" customHeight="1" x14ac:dyDescent="0.3">
      <c r="A454" s="45">
        <v>338109535</v>
      </c>
      <c r="B454" s="45" t="s">
        <v>73</v>
      </c>
      <c r="C454" s="57">
        <v>46071</v>
      </c>
      <c r="D454" s="57">
        <v>46073</v>
      </c>
      <c r="E454" s="45" t="s">
        <v>21</v>
      </c>
      <c r="F454" s="45" t="s">
        <v>38</v>
      </c>
      <c r="G454" s="45" t="s">
        <v>1159</v>
      </c>
      <c r="H454" s="45" t="s">
        <v>1461</v>
      </c>
      <c r="I454" s="45" t="str" cm="1">
        <f t="array" ref="I454">PROPER(INDEX(_xlfn.TEXTSPLIT($H454, " "), 9))</f>
        <v>Kilmarnock</v>
      </c>
      <c r="J454" s="45" t="str" cm="1">
        <f t="array" ref="J454">INDEX(_xlfn.TEXTSPLIT($H454, " "), COLUMNS(_xlfn.TEXTSPLIT($H454, " ")) - 2)</f>
        <v>VA</v>
      </c>
      <c r="K454" s="59">
        <v>650</v>
      </c>
      <c r="L454" s="64">
        <v>954.77</v>
      </c>
      <c r="M454" s="59">
        <v>480</v>
      </c>
      <c r="N454" s="60">
        <f t="shared" si="1"/>
        <v>0.98910416666666667</v>
      </c>
      <c r="O454" s="54" t="s">
        <v>1462</v>
      </c>
      <c r="P454" s="45" t="s">
        <v>28</v>
      </c>
      <c r="Q454" s="57"/>
      <c r="R454" s="45"/>
      <c r="S454" s="43"/>
      <c r="T454" s="8">
        <v>46097</v>
      </c>
    </row>
    <row r="455" spans="1:20" ht="29.25" customHeight="1" x14ac:dyDescent="0.3">
      <c r="A455" s="50">
        <v>337757985</v>
      </c>
      <c r="B455" s="50" t="s">
        <v>20</v>
      </c>
      <c r="C455" s="61">
        <v>46034</v>
      </c>
      <c r="D455" s="61">
        <v>46035</v>
      </c>
      <c r="E455" s="50" t="s">
        <v>21</v>
      </c>
      <c r="F455" s="50" t="s">
        <v>22</v>
      </c>
      <c r="G455" s="50" t="s">
        <v>92</v>
      </c>
      <c r="H455" s="50" t="s">
        <v>1463</v>
      </c>
      <c r="I455" s="50" t="str" cm="1">
        <f t="array" ref="I455">PROPER(INDEX(_xlfn.TEXTSPLIT($H455, " "), 9))</f>
        <v>Lancaster</v>
      </c>
      <c r="J455" s="50" t="str" cm="1">
        <f t="array" ref="J455">INDEX(_xlfn.TEXTSPLIT($H455, " "), COLUMNS(_xlfn.TEXTSPLIT($H455, " ")) - 2)</f>
        <v>NH</v>
      </c>
      <c r="K455" s="62">
        <v>750</v>
      </c>
      <c r="L455" s="62">
        <v>2425.15</v>
      </c>
      <c r="M455" s="62">
        <v>1500</v>
      </c>
      <c r="N455" s="63">
        <f t="shared" si="1"/>
        <v>0.61676666666666669</v>
      </c>
      <c r="O455" s="50" t="s">
        <v>1464</v>
      </c>
      <c r="P455" s="50" t="s">
        <v>28</v>
      </c>
      <c r="Q455" s="61"/>
      <c r="R455" s="50"/>
      <c r="S455" s="48"/>
      <c r="T455" s="8">
        <v>46100</v>
      </c>
    </row>
    <row r="456" spans="1:20" ht="29.25" customHeight="1" x14ac:dyDescent="0.3">
      <c r="A456" s="45">
        <v>343640713</v>
      </c>
      <c r="B456" s="45" t="s">
        <v>91</v>
      </c>
      <c r="C456" s="57">
        <v>46087</v>
      </c>
      <c r="D456" s="57">
        <v>46087</v>
      </c>
      <c r="E456" s="45" t="s">
        <v>21</v>
      </c>
      <c r="F456" s="45" t="s">
        <v>59</v>
      </c>
      <c r="G456" s="45" t="s">
        <v>237</v>
      </c>
      <c r="H456" s="45" t="s">
        <v>1465</v>
      </c>
      <c r="I456" s="45" t="str" cm="1">
        <f t="array" ref="I456">PROPER(INDEX(_xlfn.TEXTSPLIT($H456, " "), 9))</f>
        <v>Waynesboro</v>
      </c>
      <c r="J456" s="45" t="str" cm="1">
        <f t="array" ref="J456">INDEX(_xlfn.TEXTSPLIT($H456, " "), COLUMNS(_xlfn.TEXTSPLIT($H456, " ")) - 2)</f>
        <v>GA</v>
      </c>
      <c r="K456" s="59">
        <v>850</v>
      </c>
      <c r="L456" s="59">
        <v>786.45</v>
      </c>
      <c r="M456" s="59">
        <v>279</v>
      </c>
      <c r="N456" s="60">
        <f t="shared" si="1"/>
        <v>1.8188172043010755</v>
      </c>
      <c r="O456" s="45" t="s">
        <v>1466</v>
      </c>
      <c r="P456" s="45" t="s">
        <v>28</v>
      </c>
      <c r="Q456" s="57"/>
      <c r="R456" s="45"/>
      <c r="S456" s="43"/>
      <c r="T456" s="8">
        <v>46097</v>
      </c>
    </row>
    <row r="457" spans="1:20" ht="29.25" customHeight="1" x14ac:dyDescent="0.3">
      <c r="A457" s="50">
        <v>342075507</v>
      </c>
      <c r="B457" s="50" t="s">
        <v>20</v>
      </c>
      <c r="C457" s="61">
        <v>46080</v>
      </c>
      <c r="D457" s="61">
        <v>46084</v>
      </c>
      <c r="E457" s="50" t="s">
        <v>21</v>
      </c>
      <c r="F457" s="50" t="s">
        <v>22</v>
      </c>
      <c r="G457" s="50" t="s">
        <v>336</v>
      </c>
      <c r="H457" s="50" t="s">
        <v>1423</v>
      </c>
      <c r="I457" s="50" t="str" cm="1">
        <f t="array" ref="I457">PROPER(INDEX(_xlfn.TEXTSPLIT($H457, " "), 9))</f>
        <v>Las</v>
      </c>
      <c r="J457" s="50" t="str" cm="1">
        <f t="array" ref="J457">INDEX(_xlfn.TEXTSPLIT($H457, " "), COLUMNS(_xlfn.TEXTSPLIT($H457, " ")) - 2)</f>
        <v>NV</v>
      </c>
      <c r="K457" s="62">
        <v>750</v>
      </c>
      <c r="L457" s="62">
        <v>2366.54</v>
      </c>
      <c r="M457" s="62">
        <v>1250</v>
      </c>
      <c r="N457" s="63">
        <f t="shared" si="1"/>
        <v>0.89323200000000003</v>
      </c>
      <c r="O457" s="50" t="s">
        <v>1467</v>
      </c>
      <c r="P457" s="50" t="s">
        <v>28</v>
      </c>
      <c r="Q457" s="61"/>
      <c r="R457" s="50"/>
      <c r="S457" s="48"/>
      <c r="T457" s="8">
        <v>46100</v>
      </c>
    </row>
    <row r="458" spans="1:20" ht="29.25" customHeight="1" x14ac:dyDescent="0.3">
      <c r="A458" s="45">
        <v>341645964</v>
      </c>
      <c r="B458" s="45" t="s">
        <v>1217</v>
      </c>
      <c r="C458" s="57">
        <v>46083</v>
      </c>
      <c r="D458" s="57">
        <v>46085</v>
      </c>
      <c r="E458" s="45" t="s">
        <v>21</v>
      </c>
      <c r="F458" s="45" t="s">
        <v>22</v>
      </c>
      <c r="G458" s="45" t="s">
        <v>466</v>
      </c>
      <c r="H458" s="45" t="s">
        <v>1468</v>
      </c>
      <c r="I458" s="45" t="str" cm="1">
        <f t="array" ref="I458">PROPER(INDEX(_xlfn.TEXTSPLIT($H458, " "), 9))</f>
        <v>Fitchburg</v>
      </c>
      <c r="J458" s="45" t="str" cm="1">
        <f t="array" ref="J458">INDEX(_xlfn.TEXTSPLIT($H458, " "), COLUMNS(_xlfn.TEXTSPLIT($H458, " ")) - 2)</f>
        <v>MA</v>
      </c>
      <c r="K458" s="59">
        <v>350</v>
      </c>
      <c r="L458" s="59">
        <v>245.25</v>
      </c>
      <c r="M458" s="59">
        <v>140</v>
      </c>
      <c r="N458" s="60">
        <f t="shared" si="1"/>
        <v>0.75178571428571428</v>
      </c>
      <c r="O458" s="45" t="s">
        <v>1469</v>
      </c>
      <c r="P458" s="45" t="s">
        <v>28</v>
      </c>
      <c r="Q458" s="57"/>
      <c r="R458" s="45"/>
      <c r="S458" s="43"/>
      <c r="T458" s="8">
        <v>46098</v>
      </c>
    </row>
    <row r="459" spans="1:20" ht="29.25" customHeight="1" x14ac:dyDescent="0.3">
      <c r="A459" s="50">
        <v>340940204</v>
      </c>
      <c r="B459" s="50" t="s">
        <v>20</v>
      </c>
      <c r="C459" s="61">
        <v>46063</v>
      </c>
      <c r="D459" s="61">
        <v>46063</v>
      </c>
      <c r="E459" s="50" t="s">
        <v>21</v>
      </c>
      <c r="F459" s="50" t="s">
        <v>59</v>
      </c>
      <c r="G459" s="50" t="s">
        <v>138</v>
      </c>
      <c r="H459" s="50" t="s">
        <v>1470</v>
      </c>
      <c r="I459" s="50" t="str" cm="1">
        <f t="array" ref="I459">PROPER(INDEX(_xlfn.TEXTSPLIT($H459, " "), 9))</f>
        <v>Chester</v>
      </c>
      <c r="J459" s="50" t="str" cm="1">
        <f t="array" ref="J459">INDEX(_xlfn.TEXTSPLIT($H459, " "), COLUMNS(_xlfn.TEXTSPLIT($H459, " ")) - 2)</f>
        <v>VA</v>
      </c>
      <c r="K459" s="62">
        <v>550</v>
      </c>
      <c r="L459" s="62">
        <v>1868.43</v>
      </c>
      <c r="M459" s="62">
        <v>624</v>
      </c>
      <c r="N459" s="63">
        <f t="shared" si="1"/>
        <v>1.9942788461538463</v>
      </c>
      <c r="O459" s="50" t="s">
        <v>1471</v>
      </c>
      <c r="P459" s="50" t="s">
        <v>28</v>
      </c>
      <c r="Q459" s="61"/>
      <c r="R459" s="50"/>
      <c r="S459" s="48"/>
      <c r="T459" s="8">
        <v>46087</v>
      </c>
    </row>
    <row r="460" spans="1:20" ht="28.5" customHeight="1" x14ac:dyDescent="0.3">
      <c r="A460" s="50">
        <v>338115236</v>
      </c>
      <c r="B460" s="50" t="s">
        <v>73</v>
      </c>
      <c r="C460" s="61">
        <v>46071</v>
      </c>
      <c r="D460" s="61">
        <v>46073</v>
      </c>
      <c r="E460" s="50" t="s">
        <v>21</v>
      </c>
      <c r="F460" s="50" t="s">
        <v>38</v>
      </c>
      <c r="G460" s="50" t="s">
        <v>1026</v>
      </c>
      <c r="H460" s="50" t="s">
        <v>443</v>
      </c>
      <c r="I460" s="50" t="str" cm="1">
        <f t="array" ref="I460">PROPER(INDEX(_xlfn.TEXTSPLIT($H460, " "), 9))</f>
        <v>Lynchburg</v>
      </c>
      <c r="J460" s="50" t="str" cm="1">
        <f t="array" ref="J460">INDEX(_xlfn.TEXTSPLIT($H460, " "), COLUMNS(_xlfn.TEXTSPLIT($H460, " ")) - 2)</f>
        <v>VA</v>
      </c>
      <c r="K460" s="62">
        <v>350</v>
      </c>
      <c r="L460" s="62">
        <v>667.68</v>
      </c>
      <c r="M460" s="62">
        <v>350</v>
      </c>
      <c r="N460" s="63">
        <f t="shared" si="1"/>
        <v>0.90765714285714272</v>
      </c>
      <c r="O460" s="50" t="s">
        <v>1472</v>
      </c>
      <c r="P460" s="50" t="s">
        <v>28</v>
      </c>
      <c r="Q460" s="61"/>
      <c r="R460" s="50"/>
      <c r="S460" s="48"/>
      <c r="T460" s="8">
        <v>46097</v>
      </c>
    </row>
    <row r="461" spans="1:20" ht="28.5" customHeight="1" x14ac:dyDescent="0.3">
      <c r="A461" s="45">
        <v>343317042</v>
      </c>
      <c r="B461" s="45" t="s">
        <v>1217</v>
      </c>
      <c r="C461" s="57">
        <v>46083</v>
      </c>
      <c r="D461" s="57">
        <v>46090</v>
      </c>
      <c r="E461" s="45" t="s">
        <v>21</v>
      </c>
      <c r="F461" s="45" t="s">
        <v>38</v>
      </c>
      <c r="G461" s="45" t="s">
        <v>39</v>
      </c>
      <c r="H461" s="45" t="s">
        <v>1473</v>
      </c>
      <c r="I461" s="45" t="str" cm="1">
        <f t="array" ref="I461">PROPER(INDEX(_xlfn.TEXTSPLIT($H461, " "), 9))</f>
        <v>Gate</v>
      </c>
      <c r="J461" s="45" t="str" cm="1">
        <f t="array" ref="J461">INDEX(_xlfn.TEXTSPLIT($H461, " "), COLUMNS(_xlfn.TEXTSPLIT($H461, " ")) - 2)</f>
        <v>VA</v>
      </c>
      <c r="K461" s="59">
        <v>500</v>
      </c>
      <c r="L461" s="59">
        <v>487.23</v>
      </c>
      <c r="M461" s="59">
        <v>250</v>
      </c>
      <c r="N461" s="60">
        <f t="shared" si="1"/>
        <v>0.9489200000000001</v>
      </c>
      <c r="O461" s="45" t="s">
        <v>1474</v>
      </c>
      <c r="P461" s="45" t="s">
        <v>28</v>
      </c>
      <c r="Q461" s="57"/>
      <c r="R461" s="45"/>
      <c r="S461" s="43"/>
      <c r="T461" s="8">
        <v>46098</v>
      </c>
    </row>
    <row r="462" spans="1:20" ht="31.5" customHeight="1" x14ac:dyDescent="0.3">
      <c r="A462" s="45">
        <v>341551006</v>
      </c>
      <c r="B462" s="45" t="s">
        <v>29</v>
      </c>
      <c r="C462" s="57">
        <v>46069</v>
      </c>
      <c r="D462" s="57">
        <v>46070</v>
      </c>
      <c r="E462" s="45" t="s">
        <v>21</v>
      </c>
      <c r="F462" s="45" t="s">
        <v>59</v>
      </c>
      <c r="G462" s="45" t="s">
        <v>1410</v>
      </c>
      <c r="H462" s="45" t="s">
        <v>1475</v>
      </c>
      <c r="I462" s="45" t="str" cm="1">
        <f t="array" ref="I462">PROPER(INDEX(_xlfn.TEXTSPLIT($H462, " "), 9))</f>
        <v>Vernon</v>
      </c>
      <c r="J462" s="45" t="s">
        <v>34</v>
      </c>
      <c r="K462" s="59">
        <v>1000</v>
      </c>
      <c r="L462" s="59">
        <v>2447.39</v>
      </c>
      <c r="M462" s="59">
        <v>1300</v>
      </c>
      <c r="N462" s="60">
        <f t="shared" si="1"/>
        <v>0.8826076923076922</v>
      </c>
      <c r="O462" s="45" t="s">
        <v>1476</v>
      </c>
      <c r="P462" s="45" t="s">
        <v>28</v>
      </c>
      <c r="Q462" s="57"/>
      <c r="R462" s="45"/>
      <c r="S462" s="43"/>
      <c r="T462" s="8">
        <v>46097</v>
      </c>
    </row>
    <row r="463" spans="1:20" ht="31.5" customHeight="1" x14ac:dyDescent="0.3">
      <c r="A463" s="50">
        <v>343662109</v>
      </c>
      <c r="B463" s="50" t="s">
        <v>80</v>
      </c>
      <c r="C463" s="61">
        <v>46087</v>
      </c>
      <c r="D463" s="61">
        <v>46089</v>
      </c>
      <c r="E463" s="50" t="s">
        <v>21</v>
      </c>
      <c r="F463" s="50" t="s">
        <v>59</v>
      </c>
      <c r="G463" s="50" t="s">
        <v>725</v>
      </c>
      <c r="H463" s="50" t="s">
        <v>1477</v>
      </c>
      <c r="I463" s="50" t="str" cm="1">
        <f t="array" ref="I463">PROPER(INDEX(_xlfn.TEXTSPLIT($H463, " "), 9))</f>
        <v>Wareham</v>
      </c>
      <c r="J463" s="50" t="str" cm="1">
        <f t="array" ref="J463">INDEX(_xlfn.TEXTSPLIT($H463, " "), COLUMNS(_xlfn.TEXTSPLIT($H463, " ")) - 2)</f>
        <v>MA</v>
      </c>
      <c r="K463" s="62">
        <v>350</v>
      </c>
      <c r="L463" s="62">
        <v>244.28</v>
      </c>
      <c r="M463" s="62">
        <v>60</v>
      </c>
      <c r="N463" s="63">
        <f t="shared" si="1"/>
        <v>3.0713333333333335</v>
      </c>
      <c r="O463" s="50" t="s">
        <v>1478</v>
      </c>
      <c r="P463" s="50" t="s">
        <v>28</v>
      </c>
      <c r="Q463" s="61"/>
      <c r="R463" s="50"/>
      <c r="S463" s="48"/>
      <c r="T463" s="7" t="s">
        <v>1479</v>
      </c>
    </row>
    <row r="464" spans="1:20" ht="31.5" customHeight="1" x14ac:dyDescent="0.3">
      <c r="A464" s="45">
        <v>326017373</v>
      </c>
      <c r="B464" s="45" t="s">
        <v>29</v>
      </c>
      <c r="C464" s="57">
        <v>45994</v>
      </c>
      <c r="D464" s="57">
        <v>46000</v>
      </c>
      <c r="E464" s="45" t="s">
        <v>21</v>
      </c>
      <c r="F464" s="45" t="s">
        <v>38</v>
      </c>
      <c r="G464" s="45" t="s">
        <v>805</v>
      </c>
      <c r="H464" s="45" t="s">
        <v>1480</v>
      </c>
      <c r="I464" s="45" t="s">
        <v>1481</v>
      </c>
      <c r="J464" s="45" t="str" cm="1">
        <f t="array" ref="J464">INDEX(_xlfn.TEXTSPLIT($H464, " "), COLUMNS(_xlfn.TEXTSPLIT($H464, " ")) - 2)</f>
        <v>NY</v>
      </c>
      <c r="K464" s="59">
        <v>250</v>
      </c>
      <c r="L464" s="59">
        <v>3652.06</v>
      </c>
      <c r="M464" s="59">
        <v>1950</v>
      </c>
      <c r="N464" s="60">
        <f t="shared" si="1"/>
        <v>0.87285128205128204</v>
      </c>
      <c r="O464" s="45" t="s">
        <v>1482</v>
      </c>
      <c r="P464" s="45" t="s">
        <v>28</v>
      </c>
      <c r="Q464" s="57"/>
      <c r="R464" s="45" t="s">
        <v>68</v>
      </c>
      <c r="S464" s="43"/>
      <c r="T464" s="8">
        <v>46100</v>
      </c>
    </row>
    <row r="465" spans="1:20" ht="28.5" customHeight="1" x14ac:dyDescent="0.3">
      <c r="A465" s="50">
        <v>338687841</v>
      </c>
      <c r="B465" s="50" t="s">
        <v>29</v>
      </c>
      <c r="C465" s="61">
        <v>46043</v>
      </c>
      <c r="D465" s="61">
        <v>46048</v>
      </c>
      <c r="E465" s="50" t="s">
        <v>21</v>
      </c>
      <c r="F465" s="50" t="s">
        <v>38</v>
      </c>
      <c r="G465" s="50" t="s">
        <v>433</v>
      </c>
      <c r="H465" s="50" t="s">
        <v>1138</v>
      </c>
      <c r="I465" s="50" t="str" cm="1">
        <f t="array" ref="I465">PROPER(INDEX(_xlfn.TEXTSPLIT($H465, " "), 9))</f>
        <v>Gibsonia</v>
      </c>
      <c r="J465" s="50" t="str" cm="1">
        <f t="array" ref="J465">INDEX(_xlfn.TEXTSPLIT($H465, " "), COLUMNS(_xlfn.TEXTSPLIT($H465, " ")) - 2)</f>
        <v>PA</v>
      </c>
      <c r="K465" s="62">
        <v>750</v>
      </c>
      <c r="L465" s="62">
        <v>225</v>
      </c>
      <c r="M465" s="62">
        <v>200</v>
      </c>
      <c r="N465" s="63">
        <v>1</v>
      </c>
      <c r="O465" s="50" t="s">
        <v>1483</v>
      </c>
      <c r="P465" s="50" t="s">
        <v>51</v>
      </c>
      <c r="Q465" s="61"/>
      <c r="R465" s="50"/>
      <c r="S465" s="48"/>
      <c r="T465" s="8">
        <v>46100</v>
      </c>
    </row>
    <row r="466" spans="1:20" ht="30.75" customHeight="1" x14ac:dyDescent="0.3">
      <c r="A466" s="50">
        <v>342685307</v>
      </c>
      <c r="B466" s="50" t="s">
        <v>91</v>
      </c>
      <c r="C466" s="61">
        <v>46080</v>
      </c>
      <c r="D466" s="61">
        <v>46086</v>
      </c>
      <c r="E466" s="50" t="s">
        <v>21</v>
      </c>
      <c r="F466" s="50" t="s">
        <v>759</v>
      </c>
      <c r="G466" s="50" t="s">
        <v>1484</v>
      </c>
      <c r="H466" s="50" t="s">
        <v>1485</v>
      </c>
      <c r="I466" s="50" t="str" cm="1">
        <f t="array" ref="I466">PROPER(INDEX(_xlfn.TEXTSPLIT($H466, " "), 9))</f>
        <v>Gainesville</v>
      </c>
      <c r="J466" s="50" t="s">
        <v>216</v>
      </c>
      <c r="K466" s="62">
        <v>1500</v>
      </c>
      <c r="L466" s="62">
        <v>2783.89</v>
      </c>
      <c r="M466" s="62">
        <v>1300</v>
      </c>
      <c r="N466" s="63">
        <f t="shared" ref="N466:N471" si="2">($L466-$M466)/$M466</f>
        <v>1.1414538461538462</v>
      </c>
      <c r="O466" s="50" t="s">
        <v>1486</v>
      </c>
      <c r="P466" s="50" t="s">
        <v>28</v>
      </c>
      <c r="Q466" s="61"/>
      <c r="R466" s="50"/>
      <c r="S466" s="48"/>
      <c r="T466" s="8">
        <v>46097</v>
      </c>
    </row>
    <row r="467" spans="1:20" ht="30.75" customHeight="1" x14ac:dyDescent="0.3">
      <c r="A467" s="43">
        <v>343274115</v>
      </c>
      <c r="B467" s="43" t="s">
        <v>91</v>
      </c>
      <c r="C467" s="44">
        <v>46083</v>
      </c>
      <c r="D467" s="44">
        <v>46083</v>
      </c>
      <c r="E467" s="43" t="s">
        <v>21</v>
      </c>
      <c r="F467" s="43" t="s">
        <v>30</v>
      </c>
      <c r="G467" s="43" t="s">
        <v>86</v>
      </c>
      <c r="H467" s="45" t="s">
        <v>1487</v>
      </c>
      <c r="I467" s="43" t="str" cm="1">
        <f t="array" ref="I467">PROPER(INDEX(_xlfn.TEXTSPLIT($H467, " "), 9))</f>
        <v>Erie</v>
      </c>
      <c r="J467" s="43" t="str" cm="1">
        <f t="array" ref="J467">INDEX(_xlfn.TEXTSPLIT($H467, " "), COLUMNS(_xlfn.TEXTSPLIT($H467, " ")) - 2)</f>
        <v>PA</v>
      </c>
      <c r="K467" s="46">
        <v>750</v>
      </c>
      <c r="L467" s="46">
        <v>1964.81</v>
      </c>
      <c r="M467" s="46">
        <v>996.73</v>
      </c>
      <c r="N467" s="47">
        <f t="shared" si="2"/>
        <v>0.97125600714335869</v>
      </c>
      <c r="O467" s="45" t="s">
        <v>1488</v>
      </c>
      <c r="P467" s="43" t="s">
        <v>28</v>
      </c>
      <c r="Q467" s="44"/>
      <c r="R467" s="43"/>
      <c r="S467" s="43"/>
      <c r="T467" s="8">
        <v>46097</v>
      </c>
    </row>
    <row r="468" spans="1:20" ht="30.75" customHeight="1" x14ac:dyDescent="0.3">
      <c r="A468" s="48">
        <v>343438747</v>
      </c>
      <c r="B468" s="48" t="s">
        <v>1489</v>
      </c>
      <c r="C468" s="49">
        <v>46084</v>
      </c>
      <c r="D468" s="49">
        <v>46084</v>
      </c>
      <c r="E468" s="48" t="s">
        <v>21</v>
      </c>
      <c r="F468" s="48" t="s">
        <v>59</v>
      </c>
      <c r="G468" s="48" t="s">
        <v>1221</v>
      </c>
      <c r="H468" s="50" t="s">
        <v>1490</v>
      </c>
      <c r="I468" s="48" t="str" cm="1">
        <f t="array" ref="I468">PROPER(INDEX(_xlfn.TEXTSPLIT($H468, " "), 9))</f>
        <v>Westfield</v>
      </c>
      <c r="J468" s="48" t="str" cm="1">
        <f t="array" ref="J468">INDEX(_xlfn.TEXTSPLIT($H468, " "), COLUMNS(_xlfn.TEXTSPLIT($H468, " ")) - 2)</f>
        <v>IN</v>
      </c>
      <c r="K468" s="51">
        <v>1000</v>
      </c>
      <c r="L468" s="51">
        <v>2315.7800000000002</v>
      </c>
      <c r="M468" s="51">
        <v>1320</v>
      </c>
      <c r="N468" s="52">
        <f t="shared" si="2"/>
        <v>0.75437878787878798</v>
      </c>
      <c r="O468" s="50" t="s">
        <v>1491</v>
      </c>
      <c r="P468" s="48" t="s">
        <v>28</v>
      </c>
      <c r="Q468" s="49"/>
      <c r="R468" s="48"/>
      <c r="S468" s="48"/>
      <c r="T468" s="8">
        <v>46097</v>
      </c>
    </row>
    <row r="469" spans="1:20" ht="30.75" customHeight="1" x14ac:dyDescent="0.3">
      <c r="A469" s="43">
        <v>344004813</v>
      </c>
      <c r="B469" s="43" t="s">
        <v>80</v>
      </c>
      <c r="C469" s="44">
        <v>46090</v>
      </c>
      <c r="D469" s="44">
        <v>46090</v>
      </c>
      <c r="E469" s="43" t="s">
        <v>21</v>
      </c>
      <c r="F469" s="43" t="s">
        <v>30</v>
      </c>
      <c r="G469" s="43" t="s">
        <v>1059</v>
      </c>
      <c r="H469" s="45" t="s">
        <v>1492</v>
      </c>
      <c r="I469" s="58" t="s">
        <v>1493</v>
      </c>
      <c r="J469" s="43" t="str" cm="1">
        <f t="array" ref="J469">INDEX(_xlfn.TEXTSPLIT($H469, " "), COLUMNS(_xlfn.TEXTSPLIT($H469, " ")) - 2)</f>
        <v>CA</v>
      </c>
      <c r="K469" s="46">
        <v>750</v>
      </c>
      <c r="L469" s="46">
        <v>522.54999999999995</v>
      </c>
      <c r="M469" s="46">
        <v>150</v>
      </c>
      <c r="N469" s="47">
        <f t="shared" si="2"/>
        <v>2.4836666666666662</v>
      </c>
      <c r="O469" s="45" t="s">
        <v>1494</v>
      </c>
      <c r="P469" s="43" t="s">
        <v>28</v>
      </c>
      <c r="Q469" s="44"/>
      <c r="R469" s="43"/>
      <c r="S469" s="43"/>
      <c r="T469" s="8">
        <v>46098</v>
      </c>
    </row>
    <row r="470" spans="1:20" ht="30.75" customHeight="1" x14ac:dyDescent="0.3">
      <c r="A470" s="48">
        <v>341306078</v>
      </c>
      <c r="B470" s="48" t="s">
        <v>163</v>
      </c>
      <c r="C470" s="49">
        <v>46066</v>
      </c>
      <c r="D470" s="49">
        <v>46070</v>
      </c>
      <c r="E470" s="48" t="s">
        <v>21</v>
      </c>
      <c r="F470" s="48" t="s">
        <v>759</v>
      </c>
      <c r="G470" s="48" t="s">
        <v>1174</v>
      </c>
      <c r="H470" s="50" t="s">
        <v>1495</v>
      </c>
      <c r="I470" s="48" t="s">
        <v>1496</v>
      </c>
      <c r="J470" s="48" t="str" cm="1">
        <f t="array" ref="J470">INDEX(_xlfn.TEXTSPLIT($H470, " "), COLUMNS(_xlfn.TEXTSPLIT($H470, " ")) - 2)</f>
        <v>TN</v>
      </c>
      <c r="K470" s="51">
        <v>550</v>
      </c>
      <c r="L470" s="51">
        <v>854.44</v>
      </c>
      <c r="M470" s="51">
        <v>376.2</v>
      </c>
      <c r="N470" s="52">
        <f t="shared" si="2"/>
        <v>1.2712387028176504</v>
      </c>
      <c r="O470" s="50" t="s">
        <v>1497</v>
      </c>
      <c r="P470" s="48" t="s">
        <v>28</v>
      </c>
      <c r="Q470" s="49"/>
      <c r="R470" s="48"/>
      <c r="S470" s="48"/>
      <c r="T470" s="8">
        <v>46091</v>
      </c>
    </row>
    <row r="471" spans="1:20" ht="30.75" customHeight="1" x14ac:dyDescent="0.3">
      <c r="A471" s="43">
        <v>343872791</v>
      </c>
      <c r="B471" s="43" t="s">
        <v>163</v>
      </c>
      <c r="C471" s="44">
        <v>46090</v>
      </c>
      <c r="D471" s="44">
        <v>46090</v>
      </c>
      <c r="E471" s="43" t="s">
        <v>21</v>
      </c>
      <c r="F471" s="43" t="s">
        <v>59</v>
      </c>
      <c r="G471" s="43" t="s">
        <v>1036</v>
      </c>
      <c r="H471" s="45" t="s">
        <v>1498</v>
      </c>
      <c r="I471" s="43" t="s">
        <v>1499</v>
      </c>
      <c r="J471" s="43" t="str" cm="1">
        <f t="array" ref="J471">INDEX(_xlfn.TEXTSPLIT($H471, " "), COLUMNS(_xlfn.TEXTSPLIT($H471, " ")) - 2)</f>
        <v>CA</v>
      </c>
      <c r="K471" s="46">
        <v>600</v>
      </c>
      <c r="L471" s="46">
        <v>594.54999999999995</v>
      </c>
      <c r="M471" s="46">
        <v>230</v>
      </c>
      <c r="N471" s="47">
        <f t="shared" si="2"/>
        <v>1.5849999999999997</v>
      </c>
      <c r="O471" s="45" t="s">
        <v>1500</v>
      </c>
      <c r="P471" s="43" t="s">
        <v>28</v>
      </c>
      <c r="Q471" s="44"/>
      <c r="R471" s="43"/>
      <c r="S471" s="43"/>
      <c r="T471" s="8">
        <v>46099</v>
      </c>
    </row>
    <row r="472" spans="1:20" ht="30.75" customHeight="1" x14ac:dyDescent="0.3">
      <c r="A472" s="48">
        <v>341287644</v>
      </c>
      <c r="B472" s="48" t="s">
        <v>91</v>
      </c>
      <c r="C472" s="49">
        <v>46066</v>
      </c>
      <c r="D472" s="49">
        <v>46066</v>
      </c>
      <c r="E472" s="48" t="s">
        <v>21</v>
      </c>
      <c r="F472" s="48" t="s">
        <v>59</v>
      </c>
      <c r="G472" s="48" t="s">
        <v>60</v>
      </c>
      <c r="H472" s="50" t="s">
        <v>1501</v>
      </c>
      <c r="I472" s="48" t="str" cm="1">
        <f t="array" ref="I472">PROPER(INDEX(_xlfn.TEXTSPLIT($H472, " "), 9))</f>
        <v>Timmonsville</v>
      </c>
      <c r="J472" s="48" t="str" cm="1">
        <f t="array" ref="J472">INDEX(_xlfn.TEXTSPLIT($H472, " "), COLUMNS(_xlfn.TEXTSPLIT($H472, " ")) - 2)</f>
        <v>SC</v>
      </c>
      <c r="K472" s="51">
        <v>850</v>
      </c>
      <c r="L472" s="51">
        <v>225</v>
      </c>
      <c r="M472" s="51">
        <v>0</v>
      </c>
      <c r="N472" s="52">
        <v>1</v>
      </c>
      <c r="O472" s="50" t="s">
        <v>1502</v>
      </c>
      <c r="P472" s="48" t="s">
        <v>51</v>
      </c>
      <c r="Q472" s="49"/>
      <c r="R472" s="48"/>
      <c r="S472" s="48"/>
      <c r="T472" s="8">
        <v>46100</v>
      </c>
    </row>
    <row r="473" spans="1:20" ht="32.25" customHeight="1" x14ac:dyDescent="0.3">
      <c r="A473" s="43">
        <v>342570243</v>
      </c>
      <c r="B473" s="43" t="s">
        <v>20</v>
      </c>
      <c r="C473" s="44">
        <v>46083</v>
      </c>
      <c r="D473" s="44">
        <v>46084</v>
      </c>
      <c r="E473" s="43" t="s">
        <v>21</v>
      </c>
      <c r="F473" s="43" t="s">
        <v>59</v>
      </c>
      <c r="G473" s="43" t="s">
        <v>617</v>
      </c>
      <c r="H473" s="45" t="s">
        <v>1503</v>
      </c>
      <c r="I473" s="43" t="str" cm="1">
        <f t="array" ref="I473">PROPER(INDEX(_xlfn.TEXTSPLIT($H473, " "), 9))</f>
        <v>Elizabethton</v>
      </c>
      <c r="J473" s="43" t="str" cm="1">
        <f t="array" ref="J473">INDEX(_xlfn.TEXTSPLIT($H473, " "), COLUMNS(_xlfn.TEXTSPLIT($H473, " ")) - 2)</f>
        <v>TN</v>
      </c>
      <c r="K473" s="46">
        <v>750</v>
      </c>
      <c r="L473" s="46"/>
      <c r="M473" s="46"/>
      <c r="N473" s="47" t="e">
        <f t="shared" ref="N473:N505" si="3">($L473-$M473)/$M473</f>
        <v>#DIV/0!</v>
      </c>
      <c r="O473" s="45" t="s">
        <v>1504</v>
      </c>
      <c r="P473" s="43" t="s">
        <v>162</v>
      </c>
      <c r="Q473" s="44"/>
      <c r="R473" s="43"/>
      <c r="S473" s="43"/>
      <c r="T473" s="7"/>
    </row>
    <row r="474" spans="1:20" ht="30.75" customHeight="1" x14ac:dyDescent="0.3">
      <c r="A474" s="48">
        <v>343155956</v>
      </c>
      <c r="B474" s="48" t="s">
        <v>80</v>
      </c>
      <c r="C474" s="49">
        <v>46087</v>
      </c>
      <c r="D474" s="49">
        <v>46091</v>
      </c>
      <c r="E474" s="48" t="s">
        <v>21</v>
      </c>
      <c r="F474" s="48" t="s">
        <v>22</v>
      </c>
      <c r="G474" s="48" t="s">
        <v>466</v>
      </c>
      <c r="H474" s="50" t="s">
        <v>1505</v>
      </c>
      <c r="I474" s="48" t="str" cm="1">
        <f t="array" ref="I474">PROPER(INDEX(_xlfn.TEXTSPLIT($H474, " "), 9))</f>
        <v>Fallon</v>
      </c>
      <c r="J474" s="48" t="str" cm="1">
        <f t="array" ref="J474">INDEX(_xlfn.TEXTSPLIT($H474, " "), COLUMNS(_xlfn.TEXTSPLIT($H474, " ")) - 2)</f>
        <v>NV</v>
      </c>
      <c r="K474" s="51">
        <v>400</v>
      </c>
      <c r="L474" s="51">
        <v>285.14</v>
      </c>
      <c r="M474" s="51">
        <v>140</v>
      </c>
      <c r="N474" s="52">
        <f t="shared" si="3"/>
        <v>1.0367142857142857</v>
      </c>
      <c r="O474" s="50" t="s">
        <v>1506</v>
      </c>
      <c r="P474" s="48" t="s">
        <v>28</v>
      </c>
      <c r="Q474" s="49"/>
      <c r="R474" s="48"/>
      <c r="S474" s="48"/>
      <c r="T474" s="8">
        <v>46098</v>
      </c>
    </row>
    <row r="475" spans="1:20" ht="29.25" customHeight="1" x14ac:dyDescent="0.3">
      <c r="A475" s="48">
        <v>340857295</v>
      </c>
      <c r="B475" s="48" t="s">
        <v>80</v>
      </c>
      <c r="C475" s="49">
        <v>46085</v>
      </c>
      <c r="D475" s="49">
        <v>46090</v>
      </c>
      <c r="E475" s="48" t="s">
        <v>21</v>
      </c>
      <c r="F475" s="48" t="s">
        <v>22</v>
      </c>
      <c r="G475" s="48" t="s">
        <v>1507</v>
      </c>
      <c r="H475" s="50" t="s">
        <v>1508</v>
      </c>
      <c r="I475" s="48" t="str" cm="1">
        <f t="array" ref="I475">PROPER(INDEX(_xlfn.TEXTSPLIT($H475, " "), 9))</f>
        <v>Selmer</v>
      </c>
      <c r="J475" s="48" t="str" cm="1">
        <f t="array" ref="J475">INDEX(_xlfn.TEXTSPLIT($H475, " "), COLUMNS(_xlfn.TEXTSPLIT($H475, " ")) - 2)</f>
        <v>TN</v>
      </c>
      <c r="K475" s="51">
        <v>750</v>
      </c>
      <c r="L475" s="51">
        <v>447.23</v>
      </c>
      <c r="M475" s="51">
        <v>225</v>
      </c>
      <c r="N475" s="52">
        <f t="shared" si="3"/>
        <v>0.98768888888888895</v>
      </c>
      <c r="O475" s="50" t="s">
        <v>1509</v>
      </c>
      <c r="P475" s="48" t="s">
        <v>28</v>
      </c>
      <c r="Q475" s="49"/>
      <c r="R475" s="48"/>
      <c r="S475" s="48"/>
      <c r="T475" s="8">
        <v>46098</v>
      </c>
    </row>
    <row r="476" spans="1:20" ht="28.5" customHeight="1" x14ac:dyDescent="0.3">
      <c r="A476" s="48">
        <v>343992833</v>
      </c>
      <c r="B476" s="48" t="s">
        <v>20</v>
      </c>
      <c r="C476" s="49">
        <v>46090</v>
      </c>
      <c r="D476" s="49">
        <v>46090</v>
      </c>
      <c r="E476" s="48" t="s">
        <v>21</v>
      </c>
      <c r="F476" s="48" t="s">
        <v>59</v>
      </c>
      <c r="G476" s="48" t="s">
        <v>237</v>
      </c>
      <c r="H476" s="50" t="s">
        <v>1510</v>
      </c>
      <c r="I476" s="48" t="str" cm="1">
        <f t="array" ref="I476">PROPER(INDEX(_xlfn.TEXTSPLIT($H476, " "), 9))</f>
        <v>Lockport</v>
      </c>
      <c r="J476" s="48" t="str" cm="1">
        <f t="array" ref="J476">INDEX(_xlfn.TEXTSPLIT($H476, " "), COLUMNS(_xlfn.TEXTSPLIT($H476, " ")) - 2)</f>
        <v>NY</v>
      </c>
      <c r="K476" s="51">
        <v>1000</v>
      </c>
      <c r="L476" s="51">
        <v>675</v>
      </c>
      <c r="M476" s="51">
        <v>375</v>
      </c>
      <c r="N476" s="52">
        <f t="shared" si="3"/>
        <v>0.8</v>
      </c>
      <c r="O476" s="50" t="s">
        <v>1511</v>
      </c>
      <c r="P476" s="48" t="s">
        <v>28</v>
      </c>
      <c r="Q476" s="49"/>
      <c r="R476" s="48"/>
      <c r="S476" s="48"/>
      <c r="T476" s="8">
        <v>46100</v>
      </c>
    </row>
    <row r="477" spans="1:20" ht="28.5" customHeight="1" x14ac:dyDescent="0.3">
      <c r="A477" s="43">
        <v>342670041</v>
      </c>
      <c r="B477" s="43" t="s">
        <v>29</v>
      </c>
      <c r="C477" s="44">
        <v>46090</v>
      </c>
      <c r="D477" s="44">
        <v>46096</v>
      </c>
      <c r="E477" s="43" t="s">
        <v>21</v>
      </c>
      <c r="F477" s="43" t="s">
        <v>22</v>
      </c>
      <c r="G477" s="43" t="s">
        <v>69</v>
      </c>
      <c r="H477" s="45" t="s">
        <v>296</v>
      </c>
      <c r="I477" s="43" t="str" cm="1">
        <f t="array" ref="I477">PROPER(INDEX(_xlfn.TEXTSPLIT($H477, " "), 9))</f>
        <v>Rex</v>
      </c>
      <c r="J477" s="43" t="str" cm="1">
        <f t="array" ref="J477">INDEX(_xlfn.TEXTSPLIT($H477, " "), COLUMNS(_xlfn.TEXTSPLIT($H477, " ")) - 2)</f>
        <v>GA</v>
      </c>
      <c r="K477" s="46">
        <v>300</v>
      </c>
      <c r="L477" s="46">
        <v>286.2</v>
      </c>
      <c r="M477" s="46">
        <v>100</v>
      </c>
      <c r="N477" s="47">
        <f t="shared" si="3"/>
        <v>1.8619999999999999</v>
      </c>
      <c r="O477" s="45" t="s">
        <v>1512</v>
      </c>
      <c r="P477" s="43" t="s">
        <v>28</v>
      </c>
      <c r="Q477" s="44"/>
      <c r="R477" s="43"/>
      <c r="S477" s="43"/>
      <c r="T477" s="8">
        <v>46099</v>
      </c>
    </row>
    <row r="478" spans="1:20" ht="29.25" customHeight="1" x14ac:dyDescent="0.3">
      <c r="A478" s="43">
        <v>341871084</v>
      </c>
      <c r="B478" s="43" t="s">
        <v>163</v>
      </c>
      <c r="C478" s="44">
        <v>46072</v>
      </c>
      <c r="D478" s="44">
        <v>46073</v>
      </c>
      <c r="E478" s="43" t="s">
        <v>21</v>
      </c>
      <c r="F478" s="43" t="s">
        <v>759</v>
      </c>
      <c r="G478" s="43" t="s">
        <v>1174</v>
      </c>
      <c r="H478" s="45" t="s">
        <v>1513</v>
      </c>
      <c r="I478" s="43" t="str" cm="1">
        <f t="array" ref="I478">PROPER(INDEX(_xlfn.TEXTSPLIT($H478, " "), 9))</f>
        <v>Memphis</v>
      </c>
      <c r="J478" s="43" t="str" cm="1">
        <f t="array" ref="J478">INDEX(_xlfn.TEXTSPLIT($H478, " "), COLUMNS(_xlfn.TEXTSPLIT($H478, " ")) - 2)</f>
        <v>TN</v>
      </c>
      <c r="K478" s="46">
        <v>550</v>
      </c>
      <c r="L478" s="46">
        <v>835.63</v>
      </c>
      <c r="M478" s="46">
        <v>470</v>
      </c>
      <c r="N478" s="47">
        <f t="shared" si="3"/>
        <v>0.77793617021276595</v>
      </c>
      <c r="O478" s="45" t="s">
        <v>1514</v>
      </c>
      <c r="P478" s="43" t="s">
        <v>28</v>
      </c>
      <c r="Q478" s="44"/>
      <c r="R478" s="43"/>
      <c r="S478" s="43"/>
      <c r="T478" s="8">
        <v>46091</v>
      </c>
    </row>
    <row r="479" spans="1:20" ht="29.25" customHeight="1" x14ac:dyDescent="0.3">
      <c r="A479" s="48">
        <v>342774161</v>
      </c>
      <c r="B479" s="48" t="s">
        <v>163</v>
      </c>
      <c r="C479" s="49">
        <v>46080</v>
      </c>
      <c r="D479" s="49">
        <v>46080</v>
      </c>
      <c r="E479" s="48" t="s">
        <v>21</v>
      </c>
      <c r="F479" s="48" t="s">
        <v>59</v>
      </c>
      <c r="G479" s="48" t="s">
        <v>890</v>
      </c>
      <c r="H479" s="50" t="s">
        <v>1515</v>
      </c>
      <c r="I479" s="48" t="str" cm="1">
        <f t="array" ref="I479">PROPER(INDEX(_xlfn.TEXTSPLIT($H479, " "), 9))</f>
        <v>Jackson</v>
      </c>
      <c r="J479" s="48" t="str" cm="1">
        <f t="array" ref="J479">INDEX(_xlfn.TEXTSPLIT($H479, " "), COLUMNS(_xlfn.TEXTSPLIT($H479, " ")) - 2)</f>
        <v>TN</v>
      </c>
      <c r="K479" s="51">
        <v>550</v>
      </c>
      <c r="L479" s="51">
        <v>1717.75</v>
      </c>
      <c r="M479" s="51">
        <v>930</v>
      </c>
      <c r="N479" s="52">
        <f t="shared" si="3"/>
        <v>0.84704301075268817</v>
      </c>
      <c r="O479" s="50" t="s">
        <v>1516</v>
      </c>
      <c r="P479" s="48" t="s">
        <v>28</v>
      </c>
      <c r="Q479" s="49"/>
      <c r="R479" s="48"/>
      <c r="S479" s="48"/>
      <c r="T479" s="8">
        <v>46094</v>
      </c>
    </row>
    <row r="480" spans="1:20" ht="29.25" customHeight="1" x14ac:dyDescent="0.3">
      <c r="A480" s="43">
        <v>343350020</v>
      </c>
      <c r="B480" s="43" t="s">
        <v>163</v>
      </c>
      <c r="C480" s="44">
        <v>46083</v>
      </c>
      <c r="D480" s="44">
        <v>46085</v>
      </c>
      <c r="E480" s="43" t="s">
        <v>21</v>
      </c>
      <c r="F480" s="43" t="s">
        <v>22</v>
      </c>
      <c r="G480" s="43" t="s">
        <v>466</v>
      </c>
      <c r="H480" s="45" t="s">
        <v>1517</v>
      </c>
      <c r="I480" s="43" t="str" cm="1">
        <f t="array" ref="I480">PROPER(INDEX(_xlfn.TEXTSPLIT($H480, " "), 9))</f>
        <v>Waynesboro</v>
      </c>
      <c r="J480" s="43" t="str" cm="1">
        <f t="array" ref="J480">INDEX(_xlfn.TEXTSPLIT($H480, " "), COLUMNS(_xlfn.TEXTSPLIT($H480, " ")) - 2)</f>
        <v>VA</v>
      </c>
      <c r="K480" s="46">
        <v>550</v>
      </c>
      <c r="L480" s="46">
        <v>379.08</v>
      </c>
      <c r="M480" s="46">
        <v>200</v>
      </c>
      <c r="N480" s="47">
        <f t="shared" si="3"/>
        <v>0.89539999999999997</v>
      </c>
      <c r="O480" s="45" t="s">
        <v>1518</v>
      </c>
      <c r="P480" s="43" t="s">
        <v>28</v>
      </c>
      <c r="Q480" s="44"/>
      <c r="R480" s="43"/>
      <c r="S480" s="43"/>
      <c r="T480" s="8">
        <v>46099</v>
      </c>
    </row>
    <row r="481" spans="1:20" ht="29.25" customHeight="1" x14ac:dyDescent="0.3">
      <c r="A481" s="48">
        <v>344098706</v>
      </c>
      <c r="B481" s="48" t="s">
        <v>1217</v>
      </c>
      <c r="C481" s="49">
        <v>46091</v>
      </c>
      <c r="D481" s="49">
        <v>46101</v>
      </c>
      <c r="E481" s="48" t="s">
        <v>21</v>
      </c>
      <c r="F481" s="48" t="s">
        <v>38</v>
      </c>
      <c r="G481" s="48" t="s">
        <v>433</v>
      </c>
      <c r="H481" s="50" t="s">
        <v>1519</v>
      </c>
      <c r="I481" s="48" t="str" cm="1">
        <f t="array" ref="I481">PROPER(INDEX(_xlfn.TEXTSPLIT($H481, " "), 9))</f>
        <v>Somerset</v>
      </c>
      <c r="J481" s="48" t="str" cm="1">
        <f t="array" ref="J481">INDEX(_xlfn.TEXTSPLIT($H481, " "), COLUMNS(_xlfn.TEXTSPLIT($H481, " ")) - 2)</f>
        <v>KY</v>
      </c>
      <c r="K481" s="51">
        <v>750</v>
      </c>
      <c r="L481" s="51">
        <v>739.95</v>
      </c>
      <c r="M481" s="51">
        <v>400</v>
      </c>
      <c r="N481" s="52">
        <f t="shared" si="3"/>
        <v>0.84987500000000016</v>
      </c>
      <c r="O481" s="50" t="s">
        <v>1520</v>
      </c>
      <c r="P481" s="48" t="s">
        <v>28</v>
      </c>
      <c r="Q481" s="49"/>
      <c r="R481" s="48"/>
      <c r="S481" s="48"/>
      <c r="T481" s="8">
        <v>46100</v>
      </c>
    </row>
    <row r="482" spans="1:20" ht="31.5" customHeight="1" x14ac:dyDescent="0.3">
      <c r="A482" s="48">
        <v>342813142</v>
      </c>
      <c r="B482" s="48" t="s">
        <v>163</v>
      </c>
      <c r="C482" s="49">
        <v>46080</v>
      </c>
      <c r="D482" s="49">
        <v>46092</v>
      </c>
      <c r="E482" s="48" t="s">
        <v>21</v>
      </c>
      <c r="F482" s="48" t="s">
        <v>38</v>
      </c>
      <c r="G482" s="48" t="s">
        <v>1521</v>
      </c>
      <c r="H482" s="50" t="s">
        <v>1522</v>
      </c>
      <c r="I482" s="48" t="s">
        <v>1523</v>
      </c>
      <c r="J482" s="48" t="str" cm="1">
        <f t="array" ref="J482">INDEX(_xlfn.TEXTSPLIT($H482, " "), COLUMNS(_xlfn.TEXTSPLIT($H482, " ")) - 2)</f>
        <v>IN</v>
      </c>
      <c r="K482" s="51">
        <v>550</v>
      </c>
      <c r="L482" s="51">
        <v>374.5</v>
      </c>
      <c r="M482" s="51">
        <v>150</v>
      </c>
      <c r="N482" s="52">
        <f t="shared" si="3"/>
        <v>1.4966666666666666</v>
      </c>
      <c r="O482" s="50" t="s">
        <v>1524</v>
      </c>
      <c r="P482" s="48" t="s">
        <v>28</v>
      </c>
      <c r="Q482" s="49"/>
      <c r="R482" s="48"/>
      <c r="S482" s="48"/>
      <c r="T482" s="8">
        <v>46099</v>
      </c>
    </row>
    <row r="483" spans="1:20" ht="31.5" customHeight="1" x14ac:dyDescent="0.3">
      <c r="A483" s="43">
        <v>343351155</v>
      </c>
      <c r="B483" s="43" t="s">
        <v>91</v>
      </c>
      <c r="C483" s="44">
        <v>46083</v>
      </c>
      <c r="D483" s="44">
        <v>46089</v>
      </c>
      <c r="E483" s="43" t="s">
        <v>21</v>
      </c>
      <c r="F483" s="43" t="s">
        <v>22</v>
      </c>
      <c r="G483" s="43" t="s">
        <v>336</v>
      </c>
      <c r="H483" s="45" t="s">
        <v>1525</v>
      </c>
      <c r="I483" s="43" t="str" cm="1">
        <f t="array" ref="I483">PROPER(INDEX(_xlfn.TEXTSPLIT($H483, " "), 9))</f>
        <v>Enosburg</v>
      </c>
      <c r="J483" s="43" t="str" cm="1">
        <f t="array" ref="J483">INDEX(_xlfn.TEXTSPLIT($H483, " "), COLUMNS(_xlfn.TEXTSPLIT($H483, " ")) - 2)</f>
        <v>VT</v>
      </c>
      <c r="K483" s="46">
        <v>1200</v>
      </c>
      <c r="L483" s="46">
        <v>5968.37</v>
      </c>
      <c r="M483" s="46">
        <v>3250</v>
      </c>
      <c r="N483" s="47">
        <f t="shared" si="3"/>
        <v>0.83642153846153844</v>
      </c>
      <c r="O483" s="45" t="s">
        <v>1526</v>
      </c>
      <c r="P483" s="43" t="s">
        <v>28</v>
      </c>
      <c r="Q483" s="44"/>
      <c r="R483" s="43"/>
      <c r="S483" s="43"/>
      <c r="T483" s="8">
        <v>46104</v>
      </c>
    </row>
    <row r="484" spans="1:20" ht="31.5" customHeight="1" x14ac:dyDescent="0.3">
      <c r="A484" s="48">
        <v>341763878</v>
      </c>
      <c r="B484" s="48" t="s">
        <v>20</v>
      </c>
      <c r="C484" s="49">
        <v>46072</v>
      </c>
      <c r="D484" s="49">
        <v>46073</v>
      </c>
      <c r="E484" s="48" t="s">
        <v>21</v>
      </c>
      <c r="F484" s="48" t="s">
        <v>22</v>
      </c>
      <c r="G484" s="48" t="s">
        <v>92</v>
      </c>
      <c r="H484" s="50" t="s">
        <v>1527</v>
      </c>
      <c r="I484" s="48" t="str" cm="1">
        <f t="array" ref="I484">PROPER(INDEX(_xlfn.TEXTSPLIT($H484, " "), 9))</f>
        <v>Orange</v>
      </c>
      <c r="J484" s="48" t="str" cm="1">
        <f t="array" ref="J484">INDEX(_xlfn.TEXTSPLIT($H484, " "), COLUMNS(_xlfn.TEXTSPLIT($H484, " ")) - 2)</f>
        <v>FL</v>
      </c>
      <c r="K484" s="51">
        <v>750</v>
      </c>
      <c r="L484" s="51">
        <v>552.20000000000005</v>
      </c>
      <c r="M484" s="51">
        <v>300</v>
      </c>
      <c r="N484" s="52">
        <f t="shared" si="3"/>
        <v>0.84066666666666678</v>
      </c>
      <c r="O484" s="50" t="s">
        <v>1528</v>
      </c>
      <c r="P484" s="48" t="s">
        <v>28</v>
      </c>
      <c r="Q484" s="49"/>
      <c r="R484" s="48"/>
      <c r="S484" s="48"/>
      <c r="T484" s="8">
        <v>46100</v>
      </c>
    </row>
    <row r="485" spans="1:20" ht="31.5" customHeight="1" x14ac:dyDescent="0.3">
      <c r="A485" s="43">
        <v>344119848</v>
      </c>
      <c r="B485" s="43" t="s">
        <v>20</v>
      </c>
      <c r="C485" s="44">
        <v>46092</v>
      </c>
      <c r="D485" s="44">
        <v>46092</v>
      </c>
      <c r="E485" s="43" t="s">
        <v>21</v>
      </c>
      <c r="F485" s="43" t="s">
        <v>59</v>
      </c>
      <c r="G485" s="43" t="s">
        <v>237</v>
      </c>
      <c r="H485" s="45" t="s">
        <v>925</v>
      </c>
      <c r="I485" s="43" t="str" cm="1">
        <f t="array" ref="I485">PROPER(INDEX(_xlfn.TEXTSPLIT($H485, " "), 9))</f>
        <v>Macarthur</v>
      </c>
      <c r="J485" s="43" t="str" cm="1">
        <f t="array" ref="J485">INDEX(_xlfn.TEXTSPLIT($H485, " "), COLUMNS(_xlfn.TEXTSPLIT($H485, " ")) - 2)</f>
        <v>WV</v>
      </c>
      <c r="K485" s="46">
        <v>1000</v>
      </c>
      <c r="L485" s="46">
        <v>861.25</v>
      </c>
      <c r="M485" s="46">
        <v>280</v>
      </c>
      <c r="N485" s="47">
        <f t="shared" si="3"/>
        <v>2.0758928571428572</v>
      </c>
      <c r="O485" s="45" t="s">
        <v>1529</v>
      </c>
      <c r="P485" s="43" t="s">
        <v>28</v>
      </c>
      <c r="Q485" s="44"/>
      <c r="R485" s="43"/>
      <c r="S485" s="43"/>
      <c r="T485" s="8">
        <v>46100</v>
      </c>
    </row>
    <row r="486" spans="1:20" ht="29.25" customHeight="1" x14ac:dyDescent="0.3">
      <c r="A486" s="48">
        <v>343561927</v>
      </c>
      <c r="B486" s="48" t="s">
        <v>163</v>
      </c>
      <c r="C486" s="49">
        <v>46085</v>
      </c>
      <c r="D486" s="49">
        <v>46094</v>
      </c>
      <c r="E486" s="48" t="s">
        <v>21</v>
      </c>
      <c r="F486" s="48" t="s">
        <v>59</v>
      </c>
      <c r="G486" s="48" t="s">
        <v>164</v>
      </c>
      <c r="H486" s="50" t="s">
        <v>1446</v>
      </c>
      <c r="I486" s="48" t="str" cm="1">
        <f t="array" ref="I486">PROPER(INDEX(_xlfn.TEXTSPLIT($H486, " "), 9))</f>
        <v>Sumter</v>
      </c>
      <c r="J486" s="48" t="str" cm="1">
        <f t="array" ref="J486">INDEX(_xlfn.TEXTSPLIT($H486, " "), COLUMNS(_xlfn.TEXTSPLIT($H486, " ")) - 2)</f>
        <v>SC</v>
      </c>
      <c r="K486" s="51">
        <v>0</v>
      </c>
      <c r="L486" s="51"/>
      <c r="M486" s="51"/>
      <c r="N486" s="52" t="e">
        <f t="shared" si="3"/>
        <v>#DIV/0!</v>
      </c>
      <c r="O486" s="50" t="s">
        <v>1530</v>
      </c>
      <c r="P486" s="48" t="s">
        <v>162</v>
      </c>
      <c r="Q486" s="49"/>
      <c r="R486" s="48"/>
      <c r="S486" s="48"/>
      <c r="T486" s="7"/>
    </row>
    <row r="487" spans="1:20" ht="29.25" customHeight="1" x14ac:dyDescent="0.3">
      <c r="A487" s="43">
        <v>334956752</v>
      </c>
      <c r="B487" s="43" t="s">
        <v>163</v>
      </c>
      <c r="C487" s="44">
        <v>46006</v>
      </c>
      <c r="D487" s="44">
        <v>46007</v>
      </c>
      <c r="E487" s="43" t="s">
        <v>21</v>
      </c>
      <c r="F487" s="43" t="s">
        <v>30</v>
      </c>
      <c r="G487" s="43" t="s">
        <v>1406</v>
      </c>
      <c r="H487" s="45" t="s">
        <v>329</v>
      </c>
      <c r="I487" s="43" t="str" cm="1">
        <f t="array" ref="I487">PROPER(INDEX(_xlfn.TEXTSPLIT($H487, " "), 9))</f>
        <v>Greenville</v>
      </c>
      <c r="J487" s="43" t="str" cm="1">
        <f t="array" ref="J487">INDEX(_xlfn.TEXTSPLIT($H487, " "), COLUMNS(_xlfn.TEXTSPLIT($H487, " ")) - 2)</f>
        <v>SC</v>
      </c>
      <c r="K487" s="46">
        <v>750</v>
      </c>
      <c r="L487" s="46">
        <v>6334.03</v>
      </c>
      <c r="M487" s="46">
        <v>3400</v>
      </c>
      <c r="N487" s="47">
        <f t="shared" si="3"/>
        <v>0.86294999999999988</v>
      </c>
      <c r="O487" s="45" t="s">
        <v>1531</v>
      </c>
      <c r="P487" s="43" t="s">
        <v>28</v>
      </c>
      <c r="Q487" s="44"/>
      <c r="R487" s="43"/>
      <c r="S487" s="43"/>
      <c r="T487" s="8">
        <v>46101</v>
      </c>
    </row>
    <row r="488" spans="1:20" ht="27.75" customHeight="1" x14ac:dyDescent="0.3">
      <c r="A488" s="43">
        <v>344012283</v>
      </c>
      <c r="B488" s="43" t="s">
        <v>20</v>
      </c>
      <c r="C488" s="44">
        <v>46090</v>
      </c>
      <c r="D488" s="44">
        <v>46090</v>
      </c>
      <c r="E488" s="43" t="s">
        <v>21</v>
      </c>
      <c r="F488" s="43" t="s">
        <v>59</v>
      </c>
      <c r="G488" s="43" t="s">
        <v>237</v>
      </c>
      <c r="H488" s="45" t="s">
        <v>1532</v>
      </c>
      <c r="I488" s="43" t="str" cm="1">
        <f t="array" ref="I488">PROPER(INDEX(_xlfn.TEXTSPLIT($H488, " "), 9))</f>
        <v>Phoenix</v>
      </c>
      <c r="J488" s="43" t="str" cm="1">
        <f t="array" ref="J488">INDEX(_xlfn.TEXTSPLIT($H488, " "), COLUMNS(_xlfn.TEXTSPLIT($H488, " ")) - 2)</f>
        <v>AZ</v>
      </c>
      <c r="K488" s="46">
        <v>400</v>
      </c>
      <c r="L488" s="46">
        <v>1179.1300000000001</v>
      </c>
      <c r="M488" s="46">
        <v>660</v>
      </c>
      <c r="N488" s="47">
        <f t="shared" si="3"/>
        <v>0.78656060606060618</v>
      </c>
      <c r="O488" s="45" t="s">
        <v>1533</v>
      </c>
      <c r="P488" s="43" t="s">
        <v>28</v>
      </c>
      <c r="Q488" s="44">
        <v>46092</v>
      </c>
      <c r="R488" s="43"/>
      <c r="S488" s="43"/>
      <c r="T488" s="8">
        <v>46100</v>
      </c>
    </row>
    <row r="489" spans="1:20" ht="27.75" customHeight="1" x14ac:dyDescent="0.3">
      <c r="A489" s="48">
        <v>341076001</v>
      </c>
      <c r="B489" s="48" t="s">
        <v>20</v>
      </c>
      <c r="C489" s="49">
        <v>46064</v>
      </c>
      <c r="D489" s="49">
        <v>46064</v>
      </c>
      <c r="E489" s="48" t="s">
        <v>21</v>
      </c>
      <c r="F489" s="48" t="s">
        <v>59</v>
      </c>
      <c r="G489" s="48" t="s">
        <v>472</v>
      </c>
      <c r="H489" s="50" t="s">
        <v>1534</v>
      </c>
      <c r="I489" s="48" t="str" cm="1">
        <f t="array" ref="I489">PROPER(INDEX(_xlfn.TEXTSPLIT($H489, " "), 9))</f>
        <v>Reno</v>
      </c>
      <c r="J489" s="48" t="str" cm="1">
        <f t="array" ref="J489">INDEX(_xlfn.TEXTSPLIT($H489, " "), COLUMNS(_xlfn.TEXTSPLIT($H489, " ")) - 2)</f>
        <v>NV</v>
      </c>
      <c r="K489" s="51">
        <v>750</v>
      </c>
      <c r="L489" s="51">
        <v>974.64</v>
      </c>
      <c r="M489" s="51">
        <v>550</v>
      </c>
      <c r="N489" s="52">
        <f t="shared" si="3"/>
        <v>0.77207272727272724</v>
      </c>
      <c r="O489" s="50" t="s">
        <v>1535</v>
      </c>
      <c r="P489" s="48" t="s">
        <v>28</v>
      </c>
      <c r="Q489" s="49">
        <v>46090</v>
      </c>
      <c r="R489" s="48" t="s">
        <v>68</v>
      </c>
      <c r="S489" s="48"/>
      <c r="T489" s="8">
        <v>46094</v>
      </c>
    </row>
    <row r="490" spans="1:20" ht="31.5" customHeight="1" x14ac:dyDescent="0.3">
      <c r="A490" s="48">
        <v>343576093</v>
      </c>
      <c r="B490" s="48" t="s">
        <v>1120</v>
      </c>
      <c r="C490" s="49">
        <v>46086</v>
      </c>
      <c r="D490" s="49">
        <v>46086</v>
      </c>
      <c r="E490" s="48" t="s">
        <v>21</v>
      </c>
      <c r="F490" s="48" t="s">
        <v>59</v>
      </c>
      <c r="G490" s="48" t="s">
        <v>1221</v>
      </c>
      <c r="H490" s="50" t="s">
        <v>1534</v>
      </c>
      <c r="I490" s="48" t="str" cm="1">
        <f t="array" ref="I490">PROPER(INDEX(_xlfn.TEXTSPLIT($H490, " "), 9))</f>
        <v>Reno</v>
      </c>
      <c r="J490" s="48" t="str" cm="1">
        <f t="array" ref="J490">INDEX(_xlfn.TEXTSPLIT($H490, " "), COLUMNS(_xlfn.TEXTSPLIT($H490, " ")) - 2)</f>
        <v>NV</v>
      </c>
      <c r="K490" s="51">
        <v>500</v>
      </c>
      <c r="L490" s="51">
        <v>906.56</v>
      </c>
      <c r="M490" s="51">
        <v>400</v>
      </c>
      <c r="N490" s="52">
        <f t="shared" si="3"/>
        <v>1.2664</v>
      </c>
      <c r="O490" s="50" t="s">
        <v>1536</v>
      </c>
      <c r="P490" s="48" t="s">
        <v>28</v>
      </c>
      <c r="Q490" s="49"/>
      <c r="R490" s="48"/>
      <c r="S490" s="48"/>
      <c r="T490" s="8">
        <v>46087</v>
      </c>
    </row>
    <row r="491" spans="1:20" ht="28.5" customHeight="1" x14ac:dyDescent="0.3">
      <c r="A491" s="43">
        <v>340163849</v>
      </c>
      <c r="B491" s="43" t="s">
        <v>91</v>
      </c>
      <c r="C491" s="44">
        <v>46055</v>
      </c>
      <c r="D491" s="44">
        <v>46055</v>
      </c>
      <c r="E491" s="43" t="s">
        <v>21</v>
      </c>
      <c r="F491" s="43" t="s">
        <v>59</v>
      </c>
      <c r="G491" s="43" t="s">
        <v>1537</v>
      </c>
      <c r="H491" s="45" t="s">
        <v>402</v>
      </c>
      <c r="I491" s="43" t="str" cm="1">
        <f t="array" ref="I491">PROPER(INDEX(_xlfn.TEXTSPLIT($H491, " "), 9))</f>
        <v>Circleville</v>
      </c>
      <c r="J491" s="43" t="str" cm="1">
        <f t="array" ref="J491">INDEX(_xlfn.TEXTSPLIT($H491, " "), COLUMNS(_xlfn.TEXTSPLIT($H491, " ")) - 2)</f>
        <v>OH</v>
      </c>
      <c r="K491" s="46">
        <v>800</v>
      </c>
      <c r="L491" s="46">
        <v>1881.25</v>
      </c>
      <c r="M491" s="46">
        <v>650</v>
      </c>
      <c r="N491" s="47">
        <f t="shared" si="3"/>
        <v>1.8942307692307692</v>
      </c>
      <c r="O491" s="45" t="s">
        <v>1538</v>
      </c>
      <c r="P491" s="43" t="s">
        <v>28</v>
      </c>
      <c r="Q491" s="44"/>
      <c r="R491" s="43"/>
      <c r="S491" s="43"/>
      <c r="T491" s="8">
        <v>46094</v>
      </c>
    </row>
    <row r="492" spans="1:20" ht="32.25" customHeight="1" x14ac:dyDescent="0.3">
      <c r="A492" s="43">
        <v>338648909</v>
      </c>
      <c r="B492" s="43" t="s">
        <v>20</v>
      </c>
      <c r="C492" s="44">
        <v>46043</v>
      </c>
      <c r="D492" s="44">
        <v>46044</v>
      </c>
      <c r="E492" s="43" t="s">
        <v>21</v>
      </c>
      <c r="F492" s="43" t="s">
        <v>30</v>
      </c>
      <c r="G492" s="43" t="s">
        <v>1059</v>
      </c>
      <c r="H492" s="45" t="s">
        <v>1539</v>
      </c>
      <c r="I492" s="58" t="s">
        <v>1540</v>
      </c>
      <c r="J492" s="43" t="str" cm="1">
        <f t="array" ref="J492">INDEX(_xlfn.TEXTSPLIT($H492, " "), COLUMNS(_xlfn.TEXTSPLIT($H492, " ")) - 2)</f>
        <v>KY</v>
      </c>
      <c r="K492" s="46">
        <v>750</v>
      </c>
      <c r="L492" s="46">
        <v>3408.18</v>
      </c>
      <c r="M492" s="46">
        <v>1836.73</v>
      </c>
      <c r="N492" s="47">
        <f t="shared" si="3"/>
        <v>0.85556940867737763</v>
      </c>
      <c r="O492" s="45" t="s">
        <v>1541</v>
      </c>
      <c r="P492" s="43" t="s">
        <v>28</v>
      </c>
      <c r="Q492" s="44"/>
      <c r="R492" s="43"/>
      <c r="S492" s="43"/>
      <c r="T492" s="8">
        <v>46104</v>
      </c>
    </row>
    <row r="493" spans="1:20" ht="32.25" customHeight="1" x14ac:dyDescent="0.3">
      <c r="A493" s="48">
        <v>344228407</v>
      </c>
      <c r="B493" s="48" t="s">
        <v>80</v>
      </c>
      <c r="C493" s="49">
        <v>46092</v>
      </c>
      <c r="D493" s="49">
        <v>46093</v>
      </c>
      <c r="E493" s="48" t="s">
        <v>21</v>
      </c>
      <c r="F493" s="48" t="s">
        <v>30</v>
      </c>
      <c r="G493" s="48" t="s">
        <v>229</v>
      </c>
      <c r="H493" s="50" t="s">
        <v>1542</v>
      </c>
      <c r="I493" s="48" t="str" cm="1">
        <f t="array" ref="I493">PROPER(INDEX(_xlfn.TEXTSPLIT($H493, " "), 9))</f>
        <v>Fredonia</v>
      </c>
      <c r="J493" s="48" t="str" cm="1">
        <f t="array" ref="J493">INDEX(_xlfn.TEXTSPLIT($H493, " "), COLUMNS(_xlfn.TEXTSPLIT($H493, " ")) - 2)</f>
        <v>NY</v>
      </c>
      <c r="K493" s="51">
        <v>750</v>
      </c>
      <c r="L493" s="51">
        <v>495.19</v>
      </c>
      <c r="M493" s="51">
        <v>260</v>
      </c>
      <c r="N493" s="52">
        <f t="shared" si="3"/>
        <v>0.90457692307692306</v>
      </c>
      <c r="O493" s="50" t="s">
        <v>1543</v>
      </c>
      <c r="P493" s="48" t="s">
        <v>28</v>
      </c>
      <c r="Q493" s="49"/>
      <c r="R493" s="48"/>
      <c r="S493" s="48"/>
      <c r="T493" s="8">
        <v>46104</v>
      </c>
    </row>
    <row r="494" spans="1:20" ht="32.25" customHeight="1" x14ac:dyDescent="0.3">
      <c r="A494" s="43">
        <v>343328964</v>
      </c>
      <c r="B494" s="43" t="s">
        <v>29</v>
      </c>
      <c r="C494" s="44">
        <v>46083</v>
      </c>
      <c r="D494" s="44">
        <v>46083</v>
      </c>
      <c r="E494" s="43" t="s">
        <v>21</v>
      </c>
      <c r="F494" s="43" t="s">
        <v>22</v>
      </c>
      <c r="G494" s="43" t="s">
        <v>1544</v>
      </c>
      <c r="H494" s="45" t="s">
        <v>1545</v>
      </c>
      <c r="I494" s="43" t="s">
        <v>1001</v>
      </c>
      <c r="J494" s="44" t="s">
        <v>132</v>
      </c>
      <c r="K494" s="46">
        <v>750</v>
      </c>
      <c r="L494" s="46">
        <v>1343.02</v>
      </c>
      <c r="M494" s="46">
        <v>1271.1300000000001</v>
      </c>
      <c r="N494" s="52">
        <f t="shared" si="3"/>
        <v>5.6555977752078754E-2</v>
      </c>
      <c r="O494" s="45" t="s">
        <v>1546</v>
      </c>
      <c r="P494" s="43" t="s">
        <v>28</v>
      </c>
      <c r="Q494" s="44"/>
      <c r="R494" s="43"/>
      <c r="S494" s="43"/>
      <c r="T494" s="8">
        <v>46099</v>
      </c>
    </row>
    <row r="495" spans="1:20" ht="28.5" customHeight="1" x14ac:dyDescent="0.3">
      <c r="A495" s="43">
        <v>344073207</v>
      </c>
      <c r="B495" s="43" t="s">
        <v>80</v>
      </c>
      <c r="C495" s="44">
        <v>46091</v>
      </c>
      <c r="D495" s="44">
        <v>46093</v>
      </c>
      <c r="E495" s="43" t="s">
        <v>21</v>
      </c>
      <c r="F495" s="43" t="s">
        <v>59</v>
      </c>
      <c r="G495" s="43" t="s">
        <v>1221</v>
      </c>
      <c r="H495" s="45" t="s">
        <v>1492</v>
      </c>
      <c r="I495" s="58" t="s">
        <v>1493</v>
      </c>
      <c r="J495" s="43" t="str" cm="1">
        <f t="array" ref="J495">INDEX(_xlfn.TEXTSPLIT($H495, " "), COLUMNS(_xlfn.TEXTSPLIT($H495, " ")) - 2)</f>
        <v>CA</v>
      </c>
      <c r="K495" s="46">
        <v>750</v>
      </c>
      <c r="L495" s="46">
        <v>877.04</v>
      </c>
      <c r="M495" s="46">
        <v>455</v>
      </c>
      <c r="N495" s="47">
        <f t="shared" si="3"/>
        <v>0.92756043956043943</v>
      </c>
      <c r="O495" s="45" t="s">
        <v>1547</v>
      </c>
      <c r="P495" s="43" t="s">
        <v>28</v>
      </c>
      <c r="Q495" s="44"/>
      <c r="R495" s="43"/>
      <c r="S495" s="43"/>
      <c r="T495" s="8">
        <v>46104</v>
      </c>
    </row>
    <row r="496" spans="1:20" ht="28.5" customHeight="1" x14ac:dyDescent="0.3">
      <c r="A496" s="48">
        <v>341972049</v>
      </c>
      <c r="B496" s="48" t="s">
        <v>1217</v>
      </c>
      <c r="C496" s="49">
        <v>46085</v>
      </c>
      <c r="D496" s="49">
        <v>46090</v>
      </c>
      <c r="E496" s="48" t="s">
        <v>21</v>
      </c>
      <c r="F496" s="48" t="s">
        <v>759</v>
      </c>
      <c r="G496" s="48" t="s">
        <v>1159</v>
      </c>
      <c r="H496" s="50" t="s">
        <v>1548</v>
      </c>
      <c r="I496" s="48" t="str" cm="1">
        <f t="array" ref="I496">PROPER(INDEX(_xlfn.TEXTSPLIT($H496, " "), 9))</f>
        <v>Bristol</v>
      </c>
      <c r="J496" s="48" t="str" cm="1">
        <f t="array" ref="J496">INDEX(_xlfn.TEXTSPLIT($H496, " "), COLUMNS(_xlfn.TEXTSPLIT($H496, " ")) - 2)</f>
        <v>TN</v>
      </c>
      <c r="K496" s="51">
        <v>500</v>
      </c>
      <c r="L496" s="51">
        <v>984.47</v>
      </c>
      <c r="M496" s="51">
        <v>500</v>
      </c>
      <c r="N496" s="52">
        <f t="shared" si="3"/>
        <v>0.96894000000000002</v>
      </c>
      <c r="O496" s="50" t="s">
        <v>1549</v>
      </c>
      <c r="P496" s="48" t="s">
        <v>28</v>
      </c>
      <c r="Q496" s="49">
        <v>46086</v>
      </c>
      <c r="R496" s="48"/>
      <c r="S496" s="48"/>
      <c r="T496" s="7"/>
    </row>
    <row r="497" spans="1:20" ht="29.25" customHeight="1" x14ac:dyDescent="0.3">
      <c r="A497" s="48">
        <v>343433020</v>
      </c>
      <c r="B497" s="48" t="s">
        <v>91</v>
      </c>
      <c r="C497" s="49">
        <v>46084</v>
      </c>
      <c r="D497" s="49">
        <v>46084</v>
      </c>
      <c r="E497" s="48" t="s">
        <v>21</v>
      </c>
      <c r="F497" s="48" t="s">
        <v>59</v>
      </c>
      <c r="G497" s="48" t="s">
        <v>725</v>
      </c>
      <c r="H497" s="50" t="s">
        <v>1550</v>
      </c>
      <c r="I497" s="48" t="str" cm="1">
        <f t="array" ref="I497">PROPER(INDEX(_xlfn.TEXTSPLIT($H497, " "), 9))</f>
        <v>Ripley</v>
      </c>
      <c r="J497" s="48" t="str" cm="1">
        <f t="array" ref="J497">INDEX(_xlfn.TEXTSPLIT($H497, " "), COLUMNS(_xlfn.TEXTSPLIT($H497, " ")) - 2)</f>
        <v>TN</v>
      </c>
      <c r="K497" s="51">
        <v>550</v>
      </c>
      <c r="L497" s="51">
        <v>1430.71</v>
      </c>
      <c r="M497" s="51">
        <v>575</v>
      </c>
      <c r="N497" s="52">
        <f t="shared" si="3"/>
        <v>1.4881913043478261</v>
      </c>
      <c r="O497" s="50" t="s">
        <v>1551</v>
      </c>
      <c r="P497" s="48" t="s">
        <v>28</v>
      </c>
      <c r="Q497" s="49">
        <v>46090</v>
      </c>
      <c r="R497" s="48"/>
      <c r="S497" s="48"/>
      <c r="T497" s="8">
        <v>46104</v>
      </c>
    </row>
    <row r="498" spans="1:20" ht="29.25" customHeight="1" x14ac:dyDescent="0.3">
      <c r="A498" s="43">
        <v>344437880</v>
      </c>
      <c r="B498" s="43" t="s">
        <v>29</v>
      </c>
      <c r="C498" s="44">
        <v>46094</v>
      </c>
      <c r="D498" s="44">
        <v>46094</v>
      </c>
      <c r="E498" s="43" t="s">
        <v>21</v>
      </c>
      <c r="F498" s="43" t="s">
        <v>59</v>
      </c>
      <c r="G498" s="43" t="s">
        <v>60</v>
      </c>
      <c r="H498" s="45" t="s">
        <v>1552</v>
      </c>
      <c r="I498" s="43" t="str" cm="1">
        <f t="array" ref="I498">PROPER(INDEX(_xlfn.TEXTSPLIT($H498, " "), 9))</f>
        <v>Sylvania</v>
      </c>
      <c r="J498" s="43" t="str" cm="1">
        <f t="array" ref="J498">INDEX(_xlfn.TEXTSPLIT($H498, " "), COLUMNS(_xlfn.TEXTSPLIT($H498, " ")) - 2)</f>
        <v>OH</v>
      </c>
      <c r="K498" s="46">
        <v>800</v>
      </c>
      <c r="L498" s="46">
        <v>660.17</v>
      </c>
      <c r="M498" s="46">
        <v>300</v>
      </c>
      <c r="N498" s="47">
        <f t="shared" si="3"/>
        <v>1.2005666666666666</v>
      </c>
      <c r="O498" s="45" t="s">
        <v>1553</v>
      </c>
      <c r="P498" s="43" t="s">
        <v>28</v>
      </c>
      <c r="Q498" s="44"/>
      <c r="R498" s="43"/>
      <c r="S498" s="43"/>
      <c r="T498" s="8">
        <v>46104</v>
      </c>
    </row>
    <row r="499" spans="1:20" ht="29.25" customHeight="1" x14ac:dyDescent="0.3">
      <c r="A499" s="48">
        <v>344360595</v>
      </c>
      <c r="B499" s="48" t="s">
        <v>1217</v>
      </c>
      <c r="C499" s="49">
        <v>46094</v>
      </c>
      <c r="D499" s="49">
        <v>46096</v>
      </c>
      <c r="E499" s="48" t="s">
        <v>21</v>
      </c>
      <c r="F499" s="48" t="s">
        <v>59</v>
      </c>
      <c r="G499" s="48" t="s">
        <v>1036</v>
      </c>
      <c r="H499" s="50" t="s">
        <v>1554</v>
      </c>
      <c r="I499" s="48" t="str" cm="1">
        <f t="array" ref="I499">PROPER(INDEX(_xlfn.TEXTSPLIT($H499, " "), 9))</f>
        <v>Kennewick</v>
      </c>
      <c r="J499" s="48" t="str" cm="1">
        <f t="array" ref="J499">INDEX(_xlfn.TEXTSPLIT($H499, " "), COLUMNS(_xlfn.TEXTSPLIT($H499, " ")) - 2)</f>
        <v>WA</v>
      </c>
      <c r="K499" s="51">
        <v>450</v>
      </c>
      <c r="L499" s="51">
        <v>439.31</v>
      </c>
      <c r="M499" s="51">
        <v>150</v>
      </c>
      <c r="N499" s="52">
        <f t="shared" si="3"/>
        <v>1.9287333333333334</v>
      </c>
      <c r="O499" s="50" t="s">
        <v>1555</v>
      </c>
      <c r="P499" s="48" t="s">
        <v>28</v>
      </c>
      <c r="Q499" s="49"/>
      <c r="R499" s="48"/>
      <c r="S499" s="48"/>
      <c r="T499" s="8">
        <v>46104</v>
      </c>
    </row>
    <row r="500" spans="1:20" ht="30" customHeight="1" x14ac:dyDescent="0.3">
      <c r="A500" s="48">
        <v>341185876</v>
      </c>
      <c r="B500" s="48" t="s">
        <v>1217</v>
      </c>
      <c r="C500" s="49">
        <v>46076</v>
      </c>
      <c r="D500" s="49">
        <v>46080</v>
      </c>
      <c r="E500" s="48" t="s">
        <v>21</v>
      </c>
      <c r="F500" s="48" t="s">
        <v>38</v>
      </c>
      <c r="G500" s="48" t="s">
        <v>433</v>
      </c>
      <c r="H500" s="50" t="s">
        <v>1556</v>
      </c>
      <c r="I500" s="65" t="s">
        <v>1557</v>
      </c>
      <c r="J500" s="48" t="str" cm="1">
        <f t="array" ref="J500">INDEX(_xlfn.TEXTSPLIT($H500, " "), COLUMNS(_xlfn.TEXTSPLIT($H500, " ")) - 2)</f>
        <v>MA</v>
      </c>
      <c r="K500" s="51">
        <v>750</v>
      </c>
      <c r="L500" s="51">
        <v>1826.08</v>
      </c>
      <c r="M500" s="51">
        <v>970</v>
      </c>
      <c r="N500" s="52">
        <f t="shared" si="3"/>
        <v>0.88255670103092776</v>
      </c>
      <c r="O500" s="50" t="s">
        <v>1558</v>
      </c>
      <c r="P500" s="48" t="s">
        <v>28</v>
      </c>
      <c r="Q500" s="49">
        <v>46084</v>
      </c>
      <c r="R500" s="48"/>
      <c r="S500" s="48"/>
      <c r="T500" s="7"/>
    </row>
    <row r="501" spans="1:20" ht="30" customHeight="1" x14ac:dyDescent="0.3">
      <c r="A501" s="43">
        <v>343798446</v>
      </c>
      <c r="B501" s="43" t="s">
        <v>20</v>
      </c>
      <c r="C501" s="44">
        <v>46087</v>
      </c>
      <c r="D501" s="44">
        <v>46087</v>
      </c>
      <c r="E501" s="43" t="s">
        <v>21</v>
      </c>
      <c r="F501" s="43" t="s">
        <v>59</v>
      </c>
      <c r="G501" s="43" t="s">
        <v>1559</v>
      </c>
      <c r="H501" s="45" t="s">
        <v>1560</v>
      </c>
      <c r="I501" s="43" t="str" cm="1">
        <f t="array" ref="I501">PROPER(INDEX(_xlfn.TEXTSPLIT($H501, " "), 9))</f>
        <v>Leeds</v>
      </c>
      <c r="J501" s="43" t="str" cm="1">
        <f t="array" ref="J501">INDEX(_xlfn.TEXTSPLIT($H501, " "), COLUMNS(_xlfn.TEXTSPLIT($H501, " ")) - 2)</f>
        <v>AL</v>
      </c>
      <c r="K501" s="46">
        <v>850</v>
      </c>
      <c r="L501" s="46">
        <v>1570</v>
      </c>
      <c r="M501" s="46">
        <v>600</v>
      </c>
      <c r="N501" s="47">
        <f t="shared" si="3"/>
        <v>1.6166666666666667</v>
      </c>
      <c r="O501" s="45" t="s">
        <v>1561</v>
      </c>
      <c r="P501" s="43" t="s">
        <v>28</v>
      </c>
      <c r="Q501" s="44"/>
      <c r="R501" s="43" t="s">
        <v>68</v>
      </c>
      <c r="S501" s="43"/>
      <c r="T501" s="8">
        <v>46100</v>
      </c>
    </row>
    <row r="502" spans="1:20" ht="30" customHeight="1" x14ac:dyDescent="0.3">
      <c r="A502" s="48">
        <v>344457769</v>
      </c>
      <c r="B502" s="48" t="s">
        <v>1120</v>
      </c>
      <c r="C502" s="49">
        <v>46094</v>
      </c>
      <c r="D502" s="49">
        <v>46094</v>
      </c>
      <c r="E502" s="48" t="s">
        <v>21</v>
      </c>
      <c r="F502" s="48" t="s">
        <v>59</v>
      </c>
      <c r="G502" s="48" t="s">
        <v>1036</v>
      </c>
      <c r="H502" s="50" t="s">
        <v>1562</v>
      </c>
      <c r="I502" s="48" t="str" cm="1">
        <f t="array" ref="I502">PROPER(INDEX(_xlfn.TEXTSPLIT($H502, " "), 9))</f>
        <v>Jacksonville</v>
      </c>
      <c r="J502" s="48" t="str" cm="1">
        <f t="array" ref="J502">INDEX(_xlfn.TEXTSPLIT($H502, " "), COLUMNS(_xlfn.TEXTSPLIT($H502, " ")) - 2)</f>
        <v>FL</v>
      </c>
      <c r="K502" s="51">
        <v>400</v>
      </c>
      <c r="L502" s="51">
        <v>672.52</v>
      </c>
      <c r="M502" s="51">
        <v>280</v>
      </c>
      <c r="N502" s="52">
        <f t="shared" si="3"/>
        <v>1.4018571428571427</v>
      </c>
      <c r="O502" s="50" t="s">
        <v>1563</v>
      </c>
      <c r="P502" s="48" t="s">
        <v>28</v>
      </c>
      <c r="Q502" s="49"/>
      <c r="R502" s="48"/>
      <c r="S502" s="48"/>
      <c r="T502" s="8">
        <v>46099</v>
      </c>
    </row>
    <row r="503" spans="1:20" ht="30" customHeight="1" x14ac:dyDescent="0.3">
      <c r="A503" s="43">
        <v>344494459</v>
      </c>
      <c r="B503" s="43" t="s">
        <v>163</v>
      </c>
      <c r="C503" s="44">
        <v>46097</v>
      </c>
      <c r="D503" s="44">
        <v>46097</v>
      </c>
      <c r="E503" s="43" t="s">
        <v>21</v>
      </c>
      <c r="F503" s="43" t="s">
        <v>59</v>
      </c>
      <c r="G503" s="43" t="s">
        <v>60</v>
      </c>
      <c r="H503" s="45" t="s">
        <v>1564</v>
      </c>
      <c r="I503" s="43" t="str" cm="1">
        <f t="array" ref="I503">PROPER(INDEX(_xlfn.TEXTSPLIT($H503, " "), 9))</f>
        <v>North</v>
      </c>
      <c r="J503" s="43" t="str" cm="1">
        <f t="array" ref="J503">INDEX(_xlfn.TEXTSPLIT($H503, " "), COLUMNS(_xlfn.TEXTSPLIT($H503, " ")) - 2)</f>
        <v>RI</v>
      </c>
      <c r="K503" s="46">
        <v>800</v>
      </c>
      <c r="L503" s="46">
        <v>411.25</v>
      </c>
      <c r="M503" s="46">
        <v>200</v>
      </c>
      <c r="N503" s="47">
        <f t="shared" si="3"/>
        <v>1.0562499999999999</v>
      </c>
      <c r="O503" s="45" t="s">
        <v>1565</v>
      </c>
      <c r="P503" s="43" t="s">
        <v>28</v>
      </c>
      <c r="Q503" s="44"/>
      <c r="R503" s="43"/>
      <c r="S503" s="43"/>
      <c r="T503" s="8">
        <v>46106</v>
      </c>
    </row>
    <row r="504" spans="1:20" ht="27" customHeight="1" x14ac:dyDescent="0.3">
      <c r="A504" s="48">
        <v>344505704</v>
      </c>
      <c r="B504" s="48" t="s">
        <v>20</v>
      </c>
      <c r="C504" s="49">
        <v>46097</v>
      </c>
      <c r="D504" s="49">
        <v>46097</v>
      </c>
      <c r="E504" s="48" t="s">
        <v>21</v>
      </c>
      <c r="F504" s="48" t="s">
        <v>59</v>
      </c>
      <c r="G504" s="48" t="s">
        <v>60</v>
      </c>
      <c r="H504" s="50" t="s">
        <v>1566</v>
      </c>
      <c r="I504" s="48" t="str" cm="1">
        <f t="array" ref="I504">PROPER(INDEX(_xlfn.TEXTSPLIT($H504, " "), 9))</f>
        <v>Fresno</v>
      </c>
      <c r="J504" s="48" t="str" cm="1">
        <f t="array" ref="J504">INDEX(_xlfn.TEXTSPLIT($H504, " "), COLUMNS(_xlfn.TEXTSPLIT($H504, " ")) - 2)</f>
        <v>CA</v>
      </c>
      <c r="K504" s="51">
        <v>400</v>
      </c>
      <c r="L504" s="51">
        <v>382.68</v>
      </c>
      <c r="M504" s="51">
        <v>150</v>
      </c>
      <c r="N504" s="52">
        <f t="shared" si="3"/>
        <v>1.5512000000000001</v>
      </c>
      <c r="O504" s="50" t="s">
        <v>1567</v>
      </c>
      <c r="P504" s="48" t="s">
        <v>28</v>
      </c>
      <c r="Q504" s="49"/>
      <c r="R504" s="48"/>
      <c r="S504" s="48"/>
      <c r="T504" s="8">
        <v>46105</v>
      </c>
    </row>
    <row r="505" spans="1:20" ht="27.75" customHeight="1" x14ac:dyDescent="0.3">
      <c r="A505" s="43">
        <v>343673040</v>
      </c>
      <c r="B505" s="43" t="s">
        <v>80</v>
      </c>
      <c r="C505" s="44">
        <v>46094</v>
      </c>
      <c r="D505" s="44">
        <v>46096</v>
      </c>
      <c r="E505" s="43" t="s">
        <v>21</v>
      </c>
      <c r="F505" s="43" t="s">
        <v>22</v>
      </c>
      <c r="G505" s="43" t="s">
        <v>466</v>
      </c>
      <c r="H505" s="45" t="s">
        <v>1568</v>
      </c>
      <c r="I505" s="43" t="str" cm="1">
        <f t="array" ref="I505">PROPER(INDEX(_xlfn.TEXTSPLIT($H505, " "), 9))</f>
        <v>Saint</v>
      </c>
      <c r="J505" s="43" t="str" cm="1">
        <f t="array" ref="J505">INDEX(_xlfn.TEXTSPLIT($H505, " "), COLUMNS(_xlfn.TEXTSPLIT($H505, " ")) - 2)</f>
        <v>FL</v>
      </c>
      <c r="K505" s="46">
        <v>400</v>
      </c>
      <c r="L505" s="46">
        <v>383.4</v>
      </c>
      <c r="M505" s="46">
        <v>150</v>
      </c>
      <c r="N505" s="47">
        <f t="shared" si="3"/>
        <v>1.5559999999999998</v>
      </c>
      <c r="O505" s="45" t="s">
        <v>1569</v>
      </c>
      <c r="P505" s="43" t="s">
        <v>28</v>
      </c>
      <c r="Q505" s="44"/>
      <c r="R505" s="43"/>
      <c r="S505" s="66">
        <v>0.66666666666666663</v>
      </c>
      <c r="T505" s="8">
        <v>46105</v>
      </c>
    </row>
    <row r="506" spans="1:20" ht="29.25" customHeight="1" x14ac:dyDescent="0.3">
      <c r="A506" s="7">
        <v>6157</v>
      </c>
      <c r="B506" s="7" t="s">
        <v>20</v>
      </c>
      <c r="C506" s="8">
        <v>46055</v>
      </c>
      <c r="D506" s="8">
        <v>46055</v>
      </c>
      <c r="E506" s="7" t="s">
        <v>809</v>
      </c>
      <c r="F506" s="7" t="s">
        <v>59</v>
      </c>
      <c r="G506" s="7" t="s">
        <v>535</v>
      </c>
      <c r="H506" s="9" t="s">
        <v>1570</v>
      </c>
      <c r="I506" s="7" t="s">
        <v>1571</v>
      </c>
      <c r="J506" s="7" t="s">
        <v>26</v>
      </c>
      <c r="K506" s="10">
        <v>0</v>
      </c>
      <c r="L506" s="10">
        <v>150</v>
      </c>
      <c r="M506" s="10">
        <v>75</v>
      </c>
      <c r="N506" s="47">
        <f t="shared" ref="N506:N524" si="4">($L506-$M506)/$M506</f>
        <v>1</v>
      </c>
      <c r="O506" s="9" t="s">
        <v>1572</v>
      </c>
      <c r="P506" s="7" t="s">
        <v>51</v>
      </c>
      <c r="Q506" s="8"/>
      <c r="R506" s="7"/>
      <c r="S506" s="7"/>
      <c r="T506" s="8">
        <v>46098</v>
      </c>
    </row>
    <row r="507" spans="1:20" ht="29.25" customHeight="1" x14ac:dyDescent="0.3">
      <c r="A507" s="15">
        <v>14972</v>
      </c>
      <c r="B507" s="7" t="s">
        <v>91</v>
      </c>
      <c r="C507" s="8">
        <v>46056</v>
      </c>
      <c r="D507" s="8">
        <v>46056</v>
      </c>
      <c r="E507" s="7" t="s">
        <v>809</v>
      </c>
      <c r="F507" s="7" t="s">
        <v>59</v>
      </c>
      <c r="G507" s="7" t="s">
        <v>1573</v>
      </c>
      <c r="H507" s="9" t="s">
        <v>1574</v>
      </c>
      <c r="I507" s="7" t="s">
        <v>1575</v>
      </c>
      <c r="J507" s="7" t="s">
        <v>311</v>
      </c>
      <c r="K507" s="10">
        <v>0</v>
      </c>
      <c r="L507" s="10"/>
      <c r="M507" s="10"/>
      <c r="N507" s="47" t="e">
        <f t="shared" si="4"/>
        <v>#DIV/0!</v>
      </c>
      <c r="O507" s="9" t="s">
        <v>1576</v>
      </c>
      <c r="P507" s="7" t="s">
        <v>162</v>
      </c>
      <c r="Q507" s="8"/>
      <c r="R507" s="7"/>
      <c r="S507" s="7"/>
      <c r="T507" s="7"/>
    </row>
    <row r="508" spans="1:20" ht="29.25" customHeight="1" x14ac:dyDescent="0.3">
      <c r="A508" s="7">
        <v>15290</v>
      </c>
      <c r="B508" s="7" t="s">
        <v>91</v>
      </c>
      <c r="C508" s="8">
        <v>46066</v>
      </c>
      <c r="D508" s="8">
        <v>46067</v>
      </c>
      <c r="E508" s="7" t="s">
        <v>809</v>
      </c>
      <c r="F508" s="7" t="s">
        <v>59</v>
      </c>
      <c r="G508" s="7" t="s">
        <v>583</v>
      </c>
      <c r="H508" s="9" t="s">
        <v>1577</v>
      </c>
      <c r="I508" s="7" t="s">
        <v>1578</v>
      </c>
      <c r="J508" s="7" t="s">
        <v>34</v>
      </c>
      <c r="K508" s="10">
        <v>1900</v>
      </c>
      <c r="L508" s="10">
        <v>456.28</v>
      </c>
      <c r="M508" s="10">
        <v>256</v>
      </c>
      <c r="N508" s="47">
        <f t="shared" si="4"/>
        <v>0.78234374999999989</v>
      </c>
      <c r="O508" s="9" t="s">
        <v>1579</v>
      </c>
      <c r="P508" s="7" t="s">
        <v>28</v>
      </c>
      <c r="Q508" s="8"/>
      <c r="R508" s="7"/>
      <c r="S508" s="7"/>
      <c r="T508" s="8">
        <v>46099</v>
      </c>
    </row>
    <row r="509" spans="1:20" ht="29.25" customHeight="1" x14ac:dyDescent="0.3">
      <c r="A509" s="7">
        <v>14996</v>
      </c>
      <c r="B509" s="7" t="s">
        <v>91</v>
      </c>
      <c r="C509" s="8">
        <v>46064</v>
      </c>
      <c r="D509" s="8">
        <v>46064</v>
      </c>
      <c r="E509" s="7" t="s">
        <v>809</v>
      </c>
      <c r="F509" s="7" t="s">
        <v>59</v>
      </c>
      <c r="G509" s="7" t="s">
        <v>60</v>
      </c>
      <c r="H509" s="9" t="s">
        <v>1580</v>
      </c>
      <c r="I509" s="7" t="s">
        <v>1381</v>
      </c>
      <c r="J509" s="7" t="s">
        <v>26</v>
      </c>
      <c r="K509" s="10">
        <v>1900</v>
      </c>
      <c r="L509" s="10">
        <v>550</v>
      </c>
      <c r="M509" s="10">
        <v>75</v>
      </c>
      <c r="N509" s="47">
        <f t="shared" si="4"/>
        <v>6.333333333333333</v>
      </c>
      <c r="O509" s="29" t="s">
        <v>1581</v>
      </c>
      <c r="P509" s="7" t="s">
        <v>28</v>
      </c>
      <c r="Q509" s="8"/>
      <c r="R509" s="7" t="s">
        <v>68</v>
      </c>
      <c r="S509" s="7"/>
      <c r="T509" s="8">
        <v>46092</v>
      </c>
    </row>
    <row r="510" spans="1:20" ht="29.25" customHeight="1" x14ac:dyDescent="0.3">
      <c r="A510" s="7">
        <v>15297</v>
      </c>
      <c r="B510" s="7" t="s">
        <v>20</v>
      </c>
      <c r="C510" s="8">
        <v>46070</v>
      </c>
      <c r="D510" s="8">
        <v>46071</v>
      </c>
      <c r="E510" s="7" t="s">
        <v>809</v>
      </c>
      <c r="F510" s="7" t="s">
        <v>45</v>
      </c>
      <c r="G510" s="7" t="s">
        <v>917</v>
      </c>
      <c r="H510" s="9" t="s">
        <v>1582</v>
      </c>
      <c r="I510" s="7" t="s">
        <v>1583</v>
      </c>
      <c r="J510" s="7" t="s">
        <v>311</v>
      </c>
      <c r="K510" s="10">
        <v>1900</v>
      </c>
      <c r="L510" s="10">
        <v>462.64</v>
      </c>
      <c r="M510" s="10">
        <v>374</v>
      </c>
      <c r="N510" s="47">
        <f t="shared" si="4"/>
        <v>0.23700534759358285</v>
      </c>
      <c r="O510" s="9" t="s">
        <v>1584</v>
      </c>
      <c r="P510" s="7" t="s">
        <v>28</v>
      </c>
      <c r="Q510" s="8"/>
      <c r="R510" s="7"/>
      <c r="S510" s="7"/>
      <c r="T510" s="8">
        <v>46098</v>
      </c>
    </row>
    <row r="511" spans="1:20" ht="33" customHeight="1" x14ac:dyDescent="0.3">
      <c r="A511" s="7">
        <v>15012</v>
      </c>
      <c r="B511" s="7" t="s">
        <v>80</v>
      </c>
      <c r="C511" s="8">
        <v>46069</v>
      </c>
      <c r="D511" s="8">
        <v>46070</v>
      </c>
      <c r="E511" s="7" t="s">
        <v>809</v>
      </c>
      <c r="F511" s="7" t="s">
        <v>59</v>
      </c>
      <c r="G511" s="7" t="s">
        <v>1585</v>
      </c>
      <c r="H511" s="9" t="s">
        <v>1586</v>
      </c>
      <c r="I511" s="7" t="s">
        <v>1587</v>
      </c>
      <c r="J511" s="7" t="s">
        <v>195</v>
      </c>
      <c r="K511" s="10">
        <v>1900</v>
      </c>
      <c r="L511" s="10">
        <v>1114.53</v>
      </c>
      <c r="M511" s="10">
        <v>625</v>
      </c>
      <c r="N511" s="47">
        <f t="shared" si="4"/>
        <v>0.78324799999999994</v>
      </c>
      <c r="O511" s="9" t="s">
        <v>1588</v>
      </c>
      <c r="P511" s="7" t="s">
        <v>28</v>
      </c>
      <c r="Q511" s="8"/>
      <c r="R511" s="7"/>
      <c r="S511" s="7"/>
      <c r="T511" s="8">
        <v>46098</v>
      </c>
    </row>
    <row r="512" spans="1:20" ht="33" customHeight="1" x14ac:dyDescent="0.3">
      <c r="A512" s="7">
        <v>15387</v>
      </c>
      <c r="B512" s="7" t="s">
        <v>29</v>
      </c>
      <c r="C512" s="8">
        <v>46077</v>
      </c>
      <c r="D512" s="8">
        <v>46079</v>
      </c>
      <c r="E512" s="7" t="s">
        <v>809</v>
      </c>
      <c r="F512" s="7" t="s">
        <v>59</v>
      </c>
      <c r="G512" s="7" t="s">
        <v>1589</v>
      </c>
      <c r="H512" s="9" t="s">
        <v>1590</v>
      </c>
      <c r="I512" s="7" t="s">
        <v>1591</v>
      </c>
      <c r="J512" s="7" t="s">
        <v>195</v>
      </c>
      <c r="K512" s="10">
        <v>1900</v>
      </c>
      <c r="L512" s="10">
        <v>1450</v>
      </c>
      <c r="M512" s="10">
        <v>450</v>
      </c>
      <c r="N512" s="47">
        <f t="shared" si="4"/>
        <v>2.2222222222222223</v>
      </c>
      <c r="O512" s="9" t="s">
        <v>1592</v>
      </c>
      <c r="P512" s="7" t="s">
        <v>28</v>
      </c>
      <c r="Q512" s="8"/>
      <c r="R512" s="7"/>
      <c r="S512" s="7"/>
      <c r="T512" s="8">
        <v>46083</v>
      </c>
    </row>
    <row r="513" spans="1:20" ht="27.75" customHeight="1" x14ac:dyDescent="0.3">
      <c r="A513" s="15">
        <v>15517</v>
      </c>
      <c r="B513" s="7" t="s">
        <v>1120</v>
      </c>
      <c r="C513" s="8">
        <v>46085</v>
      </c>
      <c r="D513" s="8">
        <v>46085</v>
      </c>
      <c r="E513" s="7" t="s">
        <v>809</v>
      </c>
      <c r="F513" s="7" t="s">
        <v>59</v>
      </c>
      <c r="G513" s="7" t="s">
        <v>120</v>
      </c>
      <c r="H513" s="9" t="s">
        <v>1593</v>
      </c>
      <c r="I513" s="7" t="s">
        <v>1594</v>
      </c>
      <c r="J513" s="7" t="s">
        <v>814</v>
      </c>
      <c r="K513" s="10">
        <v>1900</v>
      </c>
      <c r="L513" s="10">
        <v>537.9</v>
      </c>
      <c r="M513" s="10">
        <v>250</v>
      </c>
      <c r="N513" s="47">
        <f t="shared" si="4"/>
        <v>1.1516</v>
      </c>
      <c r="O513" s="9" t="s">
        <v>1595</v>
      </c>
      <c r="P513" s="7" t="s">
        <v>28</v>
      </c>
      <c r="Q513" s="8"/>
      <c r="R513" s="7"/>
      <c r="S513" s="7"/>
      <c r="T513" s="8">
        <v>46099</v>
      </c>
    </row>
    <row r="514" spans="1:20" ht="33.75" customHeight="1" x14ac:dyDescent="0.3">
      <c r="A514" s="7">
        <v>15028</v>
      </c>
      <c r="B514" s="7" t="s">
        <v>29</v>
      </c>
      <c r="C514" s="8">
        <v>46085</v>
      </c>
      <c r="D514" s="8">
        <v>46086</v>
      </c>
      <c r="E514" s="7" t="s">
        <v>809</v>
      </c>
      <c r="F514" s="7" t="s">
        <v>59</v>
      </c>
      <c r="G514" s="7" t="s">
        <v>535</v>
      </c>
      <c r="H514" s="9" t="s">
        <v>1596</v>
      </c>
      <c r="I514" s="7" t="s">
        <v>1597</v>
      </c>
      <c r="J514" s="7" t="s">
        <v>311</v>
      </c>
      <c r="K514" s="10">
        <v>1900</v>
      </c>
      <c r="L514" s="10">
        <v>649.07000000000005</v>
      </c>
      <c r="M514" s="10">
        <v>350</v>
      </c>
      <c r="N514" s="47">
        <f t="shared" si="4"/>
        <v>0.8544857142857144</v>
      </c>
      <c r="O514" s="9" t="s">
        <v>1598</v>
      </c>
      <c r="P514" s="7" t="s">
        <v>28</v>
      </c>
      <c r="Q514" s="8"/>
      <c r="R514" s="7"/>
      <c r="S514" s="7"/>
      <c r="T514" s="8">
        <v>46098</v>
      </c>
    </row>
    <row r="515" spans="1:20" ht="33.75" customHeight="1" x14ac:dyDescent="0.3">
      <c r="A515" s="7">
        <v>15574</v>
      </c>
      <c r="B515" s="7" t="s">
        <v>80</v>
      </c>
      <c r="C515" s="8">
        <v>46087</v>
      </c>
      <c r="D515" s="8">
        <v>46088</v>
      </c>
      <c r="E515" s="7" t="s">
        <v>809</v>
      </c>
      <c r="F515" s="7" t="s">
        <v>59</v>
      </c>
      <c r="G515" s="7" t="s">
        <v>237</v>
      </c>
      <c r="H515" s="9" t="s">
        <v>1599</v>
      </c>
      <c r="I515" s="7" t="s">
        <v>813</v>
      </c>
      <c r="J515" s="7" t="s">
        <v>814</v>
      </c>
      <c r="K515" s="10">
        <v>1900</v>
      </c>
      <c r="L515" s="10">
        <v>656</v>
      </c>
      <c r="M515" s="10">
        <v>370</v>
      </c>
      <c r="N515" s="47">
        <f t="shared" si="4"/>
        <v>0.77297297297297296</v>
      </c>
      <c r="O515" s="9" t="s">
        <v>1600</v>
      </c>
      <c r="P515" s="7" t="s">
        <v>28</v>
      </c>
      <c r="Q515" s="8"/>
      <c r="R515" s="7"/>
      <c r="S515" s="7"/>
      <c r="T515" s="8">
        <v>46098</v>
      </c>
    </row>
    <row r="516" spans="1:20" ht="33.75" customHeight="1" x14ac:dyDescent="0.3">
      <c r="A516" s="15">
        <v>15594</v>
      </c>
      <c r="B516" s="7" t="s">
        <v>80</v>
      </c>
      <c r="C516" s="8">
        <v>46091</v>
      </c>
      <c r="D516" s="8">
        <v>46092</v>
      </c>
      <c r="E516" s="7" t="s">
        <v>809</v>
      </c>
      <c r="F516" s="7" t="s">
        <v>59</v>
      </c>
      <c r="G516" s="7" t="s">
        <v>120</v>
      </c>
      <c r="H516" s="9" t="s">
        <v>1601</v>
      </c>
      <c r="I516" s="7" t="s">
        <v>1575</v>
      </c>
      <c r="J516" s="7" t="s">
        <v>311</v>
      </c>
      <c r="K516" s="10">
        <v>1900</v>
      </c>
      <c r="L516" s="10">
        <v>582</v>
      </c>
      <c r="M516" s="10">
        <v>295</v>
      </c>
      <c r="N516" s="47">
        <f t="shared" si="4"/>
        <v>0.97288135593220337</v>
      </c>
      <c r="O516" s="9" t="s">
        <v>1602</v>
      </c>
      <c r="P516" s="7" t="s">
        <v>28</v>
      </c>
      <c r="Q516" s="8"/>
      <c r="R516" s="7"/>
      <c r="S516" s="7"/>
      <c r="T516" s="8">
        <v>46098</v>
      </c>
    </row>
    <row r="517" spans="1:20" ht="33.75" customHeight="1" x14ac:dyDescent="0.3">
      <c r="A517" s="15">
        <v>15538</v>
      </c>
      <c r="B517" s="7" t="s">
        <v>20</v>
      </c>
      <c r="C517" s="8">
        <v>46091</v>
      </c>
      <c r="D517" s="8">
        <v>46093</v>
      </c>
      <c r="E517" s="7" t="s">
        <v>809</v>
      </c>
      <c r="F517" s="7" t="s">
        <v>38</v>
      </c>
      <c r="G517" s="7" t="s">
        <v>639</v>
      </c>
      <c r="H517" s="9" t="s">
        <v>1603</v>
      </c>
      <c r="I517" s="7" t="s">
        <v>1578</v>
      </c>
      <c r="J517" s="7" t="s">
        <v>34</v>
      </c>
      <c r="K517" s="10">
        <v>1900</v>
      </c>
      <c r="L517" s="10">
        <v>312.68</v>
      </c>
      <c r="M517" s="10">
        <v>150</v>
      </c>
      <c r="N517" s="47">
        <f t="shared" si="4"/>
        <v>1.0845333333333333</v>
      </c>
      <c r="O517" s="9" t="s">
        <v>1604</v>
      </c>
      <c r="P517" s="7" t="s">
        <v>28</v>
      </c>
      <c r="Q517" s="8"/>
      <c r="R517" s="7"/>
      <c r="S517" s="7"/>
      <c r="T517" s="8">
        <v>46099</v>
      </c>
    </row>
    <row r="518" spans="1:20" ht="33.75" customHeight="1" x14ac:dyDescent="0.3">
      <c r="A518" s="7">
        <v>15371</v>
      </c>
      <c r="B518" s="7" t="s">
        <v>20</v>
      </c>
      <c r="C518" s="8">
        <v>46091</v>
      </c>
      <c r="D518" s="8">
        <v>46092</v>
      </c>
      <c r="E518" s="7" t="s">
        <v>809</v>
      </c>
      <c r="F518" s="7" t="s">
        <v>45</v>
      </c>
      <c r="G518" s="7" t="s">
        <v>46</v>
      </c>
      <c r="H518" s="16" t="s">
        <v>1577</v>
      </c>
      <c r="I518" s="7" t="s">
        <v>1578</v>
      </c>
      <c r="J518" s="7" t="s">
        <v>34</v>
      </c>
      <c r="K518" s="10">
        <v>1900</v>
      </c>
      <c r="L518" s="10">
        <v>528.05999999999995</v>
      </c>
      <c r="M518" s="10">
        <v>250</v>
      </c>
      <c r="N518" s="47">
        <f t="shared" si="4"/>
        <v>1.1122399999999997</v>
      </c>
      <c r="O518" s="9" t="s">
        <v>1605</v>
      </c>
      <c r="P518" s="7" t="s">
        <v>28</v>
      </c>
      <c r="Q518" s="8"/>
      <c r="R518" s="7"/>
      <c r="S518" s="7"/>
      <c r="T518" s="8">
        <v>46099</v>
      </c>
    </row>
    <row r="519" spans="1:20" ht="30.75" customHeight="1" x14ac:dyDescent="0.3">
      <c r="A519" s="7">
        <v>15342</v>
      </c>
      <c r="B519" s="7" t="s">
        <v>29</v>
      </c>
      <c r="C519" s="8">
        <v>46091</v>
      </c>
      <c r="D519" s="8">
        <v>46093</v>
      </c>
      <c r="E519" s="7" t="s">
        <v>809</v>
      </c>
      <c r="F519" s="7" t="s">
        <v>22</v>
      </c>
      <c r="G519" s="9" t="s">
        <v>92</v>
      </c>
      <c r="H519" s="16" t="s">
        <v>1606</v>
      </c>
      <c r="I519" s="7" t="s">
        <v>1607</v>
      </c>
      <c r="J519" s="7" t="s">
        <v>195</v>
      </c>
      <c r="K519" s="10">
        <v>1900</v>
      </c>
      <c r="L519" s="10">
        <v>170</v>
      </c>
      <c r="M519" s="10">
        <v>125</v>
      </c>
      <c r="N519" s="47">
        <v>1</v>
      </c>
      <c r="O519" s="15" t="s">
        <v>1608</v>
      </c>
      <c r="P519" s="7" t="s">
        <v>51</v>
      </c>
      <c r="Q519" s="8"/>
      <c r="R519" s="7"/>
      <c r="S519" s="7"/>
      <c r="T519" s="8">
        <v>46098</v>
      </c>
    </row>
    <row r="520" spans="1:20" ht="30.75" customHeight="1" x14ac:dyDescent="0.3">
      <c r="A520" s="7">
        <v>342007127</v>
      </c>
      <c r="B520" s="7" t="s">
        <v>1217</v>
      </c>
      <c r="C520" s="8">
        <v>46076</v>
      </c>
      <c r="D520" s="8">
        <v>46078</v>
      </c>
      <c r="E520" s="7" t="s">
        <v>836</v>
      </c>
      <c r="F520" s="7"/>
      <c r="G520" s="15" t="s">
        <v>820</v>
      </c>
      <c r="H520" s="9" t="s">
        <v>1609</v>
      </c>
      <c r="I520" s="7" t="s">
        <v>1610</v>
      </c>
      <c r="J520" s="7" t="s">
        <v>1611</v>
      </c>
      <c r="K520" s="10">
        <v>500</v>
      </c>
      <c r="L520" s="10">
        <v>1600.36</v>
      </c>
      <c r="M520" s="10">
        <v>865</v>
      </c>
      <c r="N520" s="47">
        <f t="shared" si="4"/>
        <v>0.85012716763005769</v>
      </c>
      <c r="O520" s="9" t="s">
        <v>1612</v>
      </c>
      <c r="P520" s="7" t="s">
        <v>28</v>
      </c>
      <c r="Q520" s="8">
        <v>46085</v>
      </c>
      <c r="R520" s="7"/>
      <c r="S520" s="7"/>
      <c r="T520" s="8">
        <v>46097</v>
      </c>
    </row>
    <row r="521" spans="1:20" ht="21.75" customHeight="1" x14ac:dyDescent="0.3">
      <c r="A521" s="15">
        <v>15550</v>
      </c>
      <c r="B521" s="7" t="s">
        <v>1120</v>
      </c>
      <c r="C521" s="8">
        <v>46091</v>
      </c>
      <c r="D521" s="8">
        <v>46092</v>
      </c>
      <c r="E521" s="7" t="s">
        <v>809</v>
      </c>
      <c r="F521" s="7" t="s">
        <v>59</v>
      </c>
      <c r="G521" s="7" t="s">
        <v>617</v>
      </c>
      <c r="H521" s="9" t="s">
        <v>1613</v>
      </c>
      <c r="I521" s="7" t="s">
        <v>1614</v>
      </c>
      <c r="J521" s="7" t="s">
        <v>311</v>
      </c>
      <c r="K521" s="10">
        <v>1900</v>
      </c>
      <c r="L521" s="10">
        <v>850.16</v>
      </c>
      <c r="M521" s="10">
        <v>225</v>
      </c>
      <c r="N521" s="47">
        <f t="shared" si="4"/>
        <v>2.7784888888888886</v>
      </c>
      <c r="O521" s="9" t="s">
        <v>1615</v>
      </c>
      <c r="P521" s="7" t="s">
        <v>28</v>
      </c>
      <c r="Q521" s="8"/>
      <c r="R521" s="7"/>
      <c r="S521" s="7"/>
      <c r="T521" s="8">
        <v>46099</v>
      </c>
    </row>
    <row r="522" spans="1:20" ht="21.75" customHeight="1" x14ac:dyDescent="0.3">
      <c r="A522" s="15">
        <v>15564</v>
      </c>
      <c r="B522" s="7" t="s">
        <v>80</v>
      </c>
      <c r="C522" s="8">
        <v>46091</v>
      </c>
      <c r="D522" s="8">
        <v>46093</v>
      </c>
      <c r="E522" s="7" t="s">
        <v>809</v>
      </c>
      <c r="F522" s="7" t="s">
        <v>38</v>
      </c>
      <c r="G522" s="7" t="s">
        <v>1521</v>
      </c>
      <c r="H522" s="9" t="s">
        <v>1616</v>
      </c>
      <c r="I522" s="7" t="s">
        <v>1575</v>
      </c>
      <c r="J522" s="7" t="s">
        <v>311</v>
      </c>
      <c r="K522" s="10">
        <v>1900</v>
      </c>
      <c r="L522" s="10">
        <v>997.67</v>
      </c>
      <c r="M522" s="10">
        <v>570</v>
      </c>
      <c r="N522" s="47">
        <f t="shared" si="4"/>
        <v>0.75029824561403502</v>
      </c>
      <c r="O522" s="9" t="s">
        <v>1617</v>
      </c>
      <c r="P522" s="7" t="s">
        <v>28</v>
      </c>
      <c r="Q522" s="8"/>
      <c r="R522" s="7"/>
      <c r="S522" s="7"/>
      <c r="T522" s="8">
        <v>46098</v>
      </c>
    </row>
    <row r="523" spans="1:20" ht="21.75" customHeight="1" x14ac:dyDescent="0.3">
      <c r="A523" s="7">
        <v>132186</v>
      </c>
      <c r="B523" s="7" t="s">
        <v>1217</v>
      </c>
      <c r="C523" s="8">
        <v>46094</v>
      </c>
      <c r="D523" s="8">
        <v>46096</v>
      </c>
      <c r="E523" s="7" t="s">
        <v>739</v>
      </c>
      <c r="F523" s="7" t="s">
        <v>1618</v>
      </c>
      <c r="G523" s="7" t="s">
        <v>851</v>
      </c>
      <c r="H523" s="9" t="s">
        <v>1619</v>
      </c>
      <c r="I523" s="7" t="s">
        <v>1620</v>
      </c>
      <c r="J523" s="7" t="s">
        <v>400</v>
      </c>
      <c r="K523" s="10">
        <v>300</v>
      </c>
      <c r="L523" s="10">
        <v>225</v>
      </c>
      <c r="M523" s="10">
        <v>75</v>
      </c>
      <c r="N523" s="47">
        <f t="shared" si="4"/>
        <v>2</v>
      </c>
      <c r="O523" s="7" t="s">
        <v>1621</v>
      </c>
      <c r="P523" s="7" t="s">
        <v>28</v>
      </c>
      <c r="Q523" s="8"/>
      <c r="R523" s="7"/>
      <c r="S523" s="67"/>
      <c r="T523" s="8">
        <v>46098</v>
      </c>
    </row>
    <row r="524" spans="1:20" ht="21.75" customHeight="1" x14ac:dyDescent="0.3">
      <c r="A524" s="7">
        <v>14306</v>
      </c>
      <c r="B524" s="7" t="s">
        <v>1120</v>
      </c>
      <c r="C524" s="8">
        <v>46086.406944444447</v>
      </c>
      <c r="D524" s="8">
        <v>46086.406944444447</v>
      </c>
      <c r="E524" s="7" t="s">
        <v>809</v>
      </c>
      <c r="F524" s="7" t="s">
        <v>59</v>
      </c>
      <c r="G524" s="7" t="s">
        <v>1622</v>
      </c>
      <c r="H524" s="9" t="s">
        <v>1623</v>
      </c>
      <c r="I524" s="6" t="s">
        <v>1624</v>
      </c>
      <c r="J524" s="12" t="s">
        <v>339</v>
      </c>
      <c r="K524" s="10">
        <v>1900</v>
      </c>
      <c r="L524" s="10">
        <v>475</v>
      </c>
      <c r="M524" s="10">
        <v>150</v>
      </c>
      <c r="N524" s="47">
        <f t="shared" si="4"/>
        <v>2.1666666666666665</v>
      </c>
      <c r="O524" s="7" t="s">
        <v>1625</v>
      </c>
      <c r="P524" s="7" t="s">
        <v>28</v>
      </c>
      <c r="Q524" s="8"/>
      <c r="R524" s="7"/>
      <c r="S524" s="7"/>
      <c r="T524" s="8">
        <v>46099</v>
      </c>
    </row>
    <row r="525" spans="1:20" ht="36" customHeight="1" x14ac:dyDescent="0.3">
      <c r="A525" s="15">
        <v>343472401</v>
      </c>
      <c r="B525" s="7" t="s">
        <v>73</v>
      </c>
      <c r="C525" s="8">
        <v>46084</v>
      </c>
      <c r="D525" s="8">
        <v>46085</v>
      </c>
      <c r="E525" s="7" t="s">
        <v>1392</v>
      </c>
      <c r="F525" s="7" t="s">
        <v>59</v>
      </c>
      <c r="G525" s="7" t="s">
        <v>60</v>
      </c>
      <c r="H525" s="9" t="s">
        <v>1626</v>
      </c>
      <c r="I525" s="15" t="s">
        <v>1627</v>
      </c>
      <c r="J525" s="7" t="s">
        <v>42</v>
      </c>
      <c r="K525" s="68">
        <v>552.5</v>
      </c>
      <c r="L525" s="10">
        <v>491.32</v>
      </c>
      <c r="M525" s="10">
        <v>280</v>
      </c>
      <c r="N525" s="11" t="e" vm="1">
        <f>(#REF!-#REF!)/#REF!</f>
        <v>#REF!</v>
      </c>
      <c r="O525" s="9" t="s">
        <v>1628</v>
      </c>
      <c r="P525" s="7" t="s">
        <v>28</v>
      </c>
      <c r="Q525" s="8"/>
      <c r="R525" s="7" t="s">
        <v>283</v>
      </c>
      <c r="S525" s="7"/>
      <c r="T525" s="8">
        <v>46105</v>
      </c>
    </row>
    <row r="526" spans="1:20" ht="29.25" customHeight="1" x14ac:dyDescent="0.3">
      <c r="A526" s="7">
        <v>344913612</v>
      </c>
      <c r="B526" s="7" t="s">
        <v>73</v>
      </c>
      <c r="C526" s="8">
        <v>46099</v>
      </c>
      <c r="D526" s="8">
        <v>46106</v>
      </c>
      <c r="E526" s="7" t="s">
        <v>1392</v>
      </c>
      <c r="F526" s="7" t="s">
        <v>38</v>
      </c>
      <c r="G526" s="7" t="s">
        <v>146</v>
      </c>
      <c r="H526" s="9" t="s">
        <v>1629</v>
      </c>
      <c r="I526" s="7" t="s">
        <v>1630</v>
      </c>
      <c r="J526" s="7" t="s">
        <v>42</v>
      </c>
      <c r="K526" s="10">
        <v>425</v>
      </c>
      <c r="L526" s="10">
        <v>314.56</v>
      </c>
      <c r="M526" s="10">
        <v>175</v>
      </c>
      <c r="N526" s="11" t="e" vm="1">
        <f>(#REF!-#REF!)/#REF!</f>
        <v>#REF!</v>
      </c>
      <c r="O526" s="9" t="s">
        <v>1631</v>
      </c>
      <c r="P526" s="7" t="s">
        <v>28</v>
      </c>
      <c r="Q526" s="8"/>
      <c r="R526" s="7"/>
      <c r="S526" s="7"/>
      <c r="T526" s="7"/>
    </row>
    <row r="527" spans="1:20" ht="39" customHeight="1" x14ac:dyDescent="0.3">
      <c r="A527" s="7">
        <v>344204074</v>
      </c>
      <c r="B527" s="7" t="s">
        <v>73</v>
      </c>
      <c r="C527" s="8">
        <v>46092</v>
      </c>
      <c r="D527" s="8">
        <v>46093</v>
      </c>
      <c r="E527" s="7" t="s">
        <v>1392</v>
      </c>
      <c r="F527" s="7" t="s">
        <v>59</v>
      </c>
      <c r="G527" s="7" t="s">
        <v>60</v>
      </c>
      <c r="H527" s="9" t="s">
        <v>1632</v>
      </c>
      <c r="I527" s="7" t="s">
        <v>1633</v>
      </c>
      <c r="J527" s="7" t="s">
        <v>42</v>
      </c>
      <c r="K527" s="10">
        <v>552.5</v>
      </c>
      <c r="L527" s="10">
        <v>484.64</v>
      </c>
      <c r="M527" s="10">
        <v>275</v>
      </c>
      <c r="N527" s="11" t="e" vm="1">
        <f>(#REF!-#REF!)/#REF!</f>
        <v>#REF!</v>
      </c>
      <c r="O527" s="9" t="s">
        <v>1634</v>
      </c>
      <c r="P527" s="7" t="s">
        <v>28</v>
      </c>
      <c r="Q527" s="8"/>
      <c r="R527" s="7"/>
      <c r="S527" s="7"/>
      <c r="T527" s="7"/>
    </row>
    <row r="528" spans="1:20" ht="28.5" customHeight="1" x14ac:dyDescent="0.3">
      <c r="A528" s="9">
        <v>345158217</v>
      </c>
      <c r="B528" s="9" t="s">
        <v>73</v>
      </c>
      <c r="C528" s="13">
        <v>46101</v>
      </c>
      <c r="D528" s="13">
        <v>46104</v>
      </c>
      <c r="E528" s="9" t="s">
        <v>1392</v>
      </c>
      <c r="F528" s="9" t="s">
        <v>38</v>
      </c>
      <c r="G528" s="9" t="s">
        <v>146</v>
      </c>
      <c r="H528" s="9" t="s">
        <v>1635</v>
      </c>
      <c r="I528" s="9" t="s">
        <v>1630</v>
      </c>
      <c r="J528" s="9" t="s">
        <v>42</v>
      </c>
      <c r="K528" s="14">
        <v>467.5</v>
      </c>
      <c r="L528" s="14">
        <v>300</v>
      </c>
      <c r="M528" s="14">
        <v>150</v>
      </c>
      <c r="N528" s="36" t="e" vm="1">
        <f>(#REF!-#REF!)/#REF!</f>
        <v>#REF!</v>
      </c>
      <c r="O528" s="9" t="s">
        <v>1636</v>
      </c>
      <c r="P528" s="9" t="s">
        <v>28</v>
      </c>
      <c r="Q528" s="13"/>
      <c r="R528" s="9"/>
      <c r="S528" s="9"/>
      <c r="T528" s="13">
        <v>46107</v>
      </c>
    </row>
    <row r="529" spans="1:21" s="7" customFormat="1" ht="31.5" customHeight="1" x14ac:dyDescent="0.3">
      <c r="A529" s="15" t="s">
        <v>1637</v>
      </c>
      <c r="B529" s="7" t="s">
        <v>91</v>
      </c>
      <c r="C529" s="8">
        <v>46041</v>
      </c>
      <c r="D529" s="8">
        <v>46043</v>
      </c>
      <c r="E529" s="16" t="s">
        <v>755</v>
      </c>
      <c r="F529" s="7" t="s">
        <v>1638</v>
      </c>
      <c r="G529" s="7" t="s">
        <v>1639</v>
      </c>
      <c r="H529" s="9" t="s">
        <v>1640</v>
      </c>
      <c r="I529" s="7" t="s">
        <v>330</v>
      </c>
      <c r="J529" s="7" t="s">
        <v>792</v>
      </c>
      <c r="K529" s="10">
        <v>0</v>
      </c>
      <c r="L529" s="10">
        <v>8099.99</v>
      </c>
      <c r="M529" s="10">
        <v>6000</v>
      </c>
      <c r="N529" s="11">
        <f t="shared" ref="N529" si="5">($L529-$M529)/$M529</f>
        <v>0.3499983333333333</v>
      </c>
      <c r="O529" s="9" t="s">
        <v>1641</v>
      </c>
      <c r="P529" s="7" t="s">
        <v>28</v>
      </c>
      <c r="Q529" s="8"/>
      <c r="T529" s="8">
        <v>46093</v>
      </c>
    </row>
    <row r="530" spans="1:21" ht="38.25" customHeight="1" x14ac:dyDescent="0.3">
      <c r="A530" s="9">
        <v>345152952</v>
      </c>
      <c r="B530" s="9" t="s">
        <v>73</v>
      </c>
      <c r="C530" s="13">
        <v>46106</v>
      </c>
      <c r="D530" s="13">
        <v>46106</v>
      </c>
      <c r="E530" s="9" t="s">
        <v>1392</v>
      </c>
      <c r="F530" s="9" t="s">
        <v>38</v>
      </c>
      <c r="G530" s="9" t="s">
        <v>146</v>
      </c>
      <c r="H530" s="9" t="s">
        <v>1642</v>
      </c>
      <c r="I530" s="9" t="s">
        <v>1643</v>
      </c>
      <c r="J530" s="9" t="s">
        <v>42</v>
      </c>
      <c r="K530" s="14">
        <v>467.5</v>
      </c>
      <c r="L530" s="14">
        <v>435</v>
      </c>
      <c r="M530" s="14">
        <v>125</v>
      </c>
      <c r="N530" s="36" t="e" vm="1">
        <f>(#REF!-#REF!)/#REF!</f>
        <v>#REF!</v>
      </c>
      <c r="O530" s="9" t="s">
        <v>1644</v>
      </c>
      <c r="P530" s="9" t="s">
        <v>28</v>
      </c>
      <c r="Q530" s="13"/>
      <c r="R530" s="9"/>
      <c r="S530" s="9"/>
      <c r="T530" s="9"/>
    </row>
    <row r="531" spans="1:21" ht="30" customHeight="1" x14ac:dyDescent="0.3">
      <c r="A531" s="9">
        <v>345357481</v>
      </c>
      <c r="B531" s="9" t="s">
        <v>1645</v>
      </c>
      <c r="C531" s="13">
        <v>46104</v>
      </c>
      <c r="D531" s="13">
        <v>46109</v>
      </c>
      <c r="E531" s="9" t="s">
        <v>1392</v>
      </c>
      <c r="F531" s="9" t="s">
        <v>30</v>
      </c>
      <c r="G531" s="9" t="s">
        <v>82</v>
      </c>
      <c r="H531" s="9" t="s">
        <v>1646</v>
      </c>
      <c r="I531" s="9" t="s">
        <v>1394</v>
      </c>
      <c r="J531" s="9" t="s">
        <v>42</v>
      </c>
      <c r="K531" s="14">
        <v>425</v>
      </c>
      <c r="L531" s="14">
        <v>150</v>
      </c>
      <c r="M531" s="14">
        <v>75</v>
      </c>
      <c r="N531" s="36" t="e">
        <f>(#REF!-#REF!)/#REF!</f>
        <v>#REF!</v>
      </c>
      <c r="O531" s="9" t="s">
        <v>1647</v>
      </c>
      <c r="P531" s="9" t="s">
        <v>51</v>
      </c>
      <c r="Q531" s="13"/>
      <c r="R531" s="9"/>
      <c r="S531" s="9"/>
      <c r="T531" s="13"/>
      <c r="U531" s="9"/>
    </row>
    <row r="532" spans="1:21" ht="24.75" customHeight="1" x14ac:dyDescent="0.3">
      <c r="A532" s="48">
        <v>340299556</v>
      </c>
      <c r="B532" s="48" t="s">
        <v>91</v>
      </c>
      <c r="C532" s="49">
        <v>46056</v>
      </c>
      <c r="D532" s="49">
        <v>46056</v>
      </c>
      <c r="E532" s="48" t="s">
        <v>21</v>
      </c>
      <c r="F532" s="48" t="s">
        <v>22</v>
      </c>
      <c r="G532" s="48" t="s">
        <v>92</v>
      </c>
      <c r="H532" s="50" t="s">
        <v>1648</v>
      </c>
      <c r="I532" s="48" t="str" cm="1">
        <f t="array" ref="I532">PROPER(INDEX(_xlfn.TEXTSPLIT($H532, " "), 9))</f>
        <v>Barton</v>
      </c>
      <c r="J532" s="48" t="str" cm="1">
        <f t="array" ref="J532">INDEX(_xlfn.TEXTSPLIT($H532, " "), COLUMNS(_xlfn.TEXTSPLIT($H532, " ")) - 2)</f>
        <v>VT</v>
      </c>
      <c r="K532" s="51">
        <v>950</v>
      </c>
      <c r="L532" s="51">
        <v>496.88</v>
      </c>
      <c r="M532" s="51"/>
      <c r="N532" s="52" t="e">
        <f>($L532-$M532)/$M532</f>
        <v>#DIV/0!</v>
      </c>
      <c r="O532" s="50" t="s">
        <v>1649</v>
      </c>
      <c r="P532" s="48" t="s">
        <v>28</v>
      </c>
      <c r="Q532" s="49"/>
      <c r="R532" s="48"/>
      <c r="S532" s="48"/>
      <c r="U532" s="7"/>
    </row>
    <row r="533" spans="1:21" ht="24.75" customHeight="1" x14ac:dyDescent="0.3">
      <c r="A533" s="53">
        <v>342679153</v>
      </c>
      <c r="B533" s="48" t="s">
        <v>29</v>
      </c>
      <c r="C533" s="49">
        <v>46080</v>
      </c>
      <c r="D533" s="49">
        <v>46084</v>
      </c>
      <c r="E533" s="48" t="s">
        <v>21</v>
      </c>
      <c r="F533" s="48" t="s">
        <v>22</v>
      </c>
      <c r="G533" s="48" t="s">
        <v>224</v>
      </c>
      <c r="H533" s="50" t="s">
        <v>1650</v>
      </c>
      <c r="I533" s="48" t="str" cm="1">
        <f t="array" ref="I533">PROPER(INDEX(_xlfn.TEXTSPLIT($H533, " "), 9))</f>
        <v>Hayward</v>
      </c>
      <c r="J533" s="48" t="str" cm="1">
        <f t="array" ref="J533">INDEX(_xlfn.TEXTSPLIT($H533, " "), COLUMNS(_xlfn.TEXTSPLIT($H533, " ")) - 2)</f>
        <v>CA</v>
      </c>
      <c r="K533" s="51">
        <v>1500</v>
      </c>
      <c r="L533" s="51">
        <v>170</v>
      </c>
      <c r="M533" s="51">
        <v>170</v>
      </c>
      <c r="N533" s="52">
        <v>1</v>
      </c>
      <c r="O533" s="50" t="s">
        <v>1651</v>
      </c>
      <c r="P533" s="48" t="s">
        <v>51</v>
      </c>
      <c r="Q533" s="49"/>
      <c r="R533" s="48"/>
      <c r="S533" s="48"/>
      <c r="U533" s="7"/>
    </row>
    <row r="534" spans="1:21" ht="24.75" customHeight="1" x14ac:dyDescent="0.3">
      <c r="A534" s="69">
        <v>342335038</v>
      </c>
      <c r="B534" s="69" t="s">
        <v>1120</v>
      </c>
      <c r="C534" s="70">
        <v>46077</v>
      </c>
      <c r="D534" s="70">
        <v>46077</v>
      </c>
      <c r="E534" s="69" t="s">
        <v>21</v>
      </c>
      <c r="F534" s="69" t="s">
        <v>59</v>
      </c>
      <c r="G534" s="69" t="s">
        <v>1262</v>
      </c>
      <c r="H534" s="69" t="s">
        <v>1542</v>
      </c>
      <c r="I534" s="69" t="str" cm="1">
        <f t="array" ref="I534">PROPER(INDEX(_xlfn.TEXTSPLIT($H534, " "), 9))</f>
        <v>Fredonia</v>
      </c>
      <c r="J534" s="69" t="str" cm="1">
        <f t="array" ref="J534">INDEX(_xlfn.TEXTSPLIT($H534, " "), COLUMNS(_xlfn.TEXTSPLIT($H534, " ")) - 2)</f>
        <v>NY</v>
      </c>
      <c r="K534" s="71">
        <v>850</v>
      </c>
      <c r="L534" s="71">
        <v>303.75</v>
      </c>
      <c r="M534" s="71">
        <v>150</v>
      </c>
      <c r="N534" s="72">
        <f>($L534-$M534)/$M534</f>
        <v>1.0249999999999999</v>
      </c>
      <c r="O534" s="69" t="s">
        <v>1652</v>
      </c>
      <c r="P534" s="69" t="s">
        <v>28</v>
      </c>
      <c r="Q534" s="70"/>
      <c r="R534" s="69"/>
      <c r="S534" s="73"/>
      <c r="U534" s="7"/>
    </row>
    <row r="535" spans="1:21" ht="24.75" customHeight="1" x14ac:dyDescent="0.3">
      <c r="A535" s="45">
        <v>341175590</v>
      </c>
      <c r="B535" s="45" t="s">
        <v>91</v>
      </c>
      <c r="C535" s="57">
        <v>46072</v>
      </c>
      <c r="D535" s="57">
        <v>46073</v>
      </c>
      <c r="E535" s="45" t="s">
        <v>21</v>
      </c>
      <c r="F535" s="45" t="s">
        <v>22</v>
      </c>
      <c r="G535" s="45" t="s">
        <v>1653</v>
      </c>
      <c r="H535" s="45" t="s">
        <v>1654</v>
      </c>
      <c r="I535" s="45" t="str" cm="1">
        <f t="array" ref="I535">PROPER(INDEX(_xlfn.TEXTSPLIT($H535, " "), 9))</f>
        <v>Columbus</v>
      </c>
      <c r="J535" s="45" t="str" cm="1">
        <f t="array" ref="J535">INDEX(_xlfn.TEXTSPLIT($H535, " "), COLUMNS(_xlfn.TEXTSPLIT($H535, " ")) - 2)</f>
        <v>GA</v>
      </c>
      <c r="K535" s="59">
        <v>750</v>
      </c>
      <c r="L535" s="59">
        <v>495.95</v>
      </c>
      <c r="M535" s="59">
        <v>150</v>
      </c>
      <c r="N535" s="60">
        <f>($L535-$M535)/$M535</f>
        <v>2.3063333333333333</v>
      </c>
      <c r="O535" s="45" t="s">
        <v>1655</v>
      </c>
      <c r="P535" s="45" t="s">
        <v>28</v>
      </c>
      <c r="Q535" s="57"/>
      <c r="R535" s="45"/>
      <c r="S535" s="43"/>
      <c r="U535" s="7"/>
    </row>
    <row r="536" spans="1:21" ht="24.75" customHeight="1" x14ac:dyDescent="0.3">
      <c r="A536" s="50">
        <v>339705403</v>
      </c>
      <c r="B536" s="50" t="s">
        <v>20</v>
      </c>
      <c r="C536" s="61">
        <v>46052</v>
      </c>
      <c r="D536" s="61">
        <v>46056</v>
      </c>
      <c r="E536" s="50" t="s">
        <v>21</v>
      </c>
      <c r="F536" s="50" t="s">
        <v>759</v>
      </c>
      <c r="G536" s="50" t="s">
        <v>1174</v>
      </c>
      <c r="H536" s="50" t="s">
        <v>1656</v>
      </c>
      <c r="I536" s="50" t="str" cm="1">
        <f t="array" ref="I536">PROPER(INDEX(_xlfn.TEXTSPLIT($H536, " "), 9))</f>
        <v>Fredericksburg</v>
      </c>
      <c r="J536" s="50" t="str" cm="1">
        <f t="array" ref="J536">INDEX(_xlfn.TEXTSPLIT($H536, " "), COLUMNS(_xlfn.TEXTSPLIT($H536, " ")) - 2)</f>
        <v>VA</v>
      </c>
      <c r="K536" s="62">
        <v>550</v>
      </c>
      <c r="L536" s="62">
        <v>650.4</v>
      </c>
      <c r="M536" s="62">
        <v>450</v>
      </c>
      <c r="N536" s="63">
        <f>($L536-$M536)/$M536</f>
        <v>0.4453333333333333</v>
      </c>
      <c r="O536" s="50" t="s">
        <v>1657</v>
      </c>
      <c r="P536" s="50" t="s">
        <v>28</v>
      </c>
      <c r="Q536" s="61"/>
      <c r="R536" s="50"/>
      <c r="S536" s="48"/>
      <c r="U536" s="7"/>
    </row>
    <row r="537" spans="1:21" ht="24.75" customHeight="1" x14ac:dyDescent="0.3">
      <c r="A537" s="45">
        <v>343276270</v>
      </c>
      <c r="B537" s="45" t="s">
        <v>163</v>
      </c>
      <c r="C537" s="57">
        <v>46083</v>
      </c>
      <c r="D537" s="57">
        <v>46083</v>
      </c>
      <c r="E537" s="45" t="s">
        <v>21</v>
      </c>
      <c r="F537" s="45" t="s">
        <v>361</v>
      </c>
      <c r="G537" s="45" t="s">
        <v>855</v>
      </c>
      <c r="H537" s="45" t="s">
        <v>1658</v>
      </c>
      <c r="I537" s="45" t="str" cm="1">
        <f t="array" ref="I537">PROPER(INDEX(_xlfn.TEXTSPLIT($H537, " "), 9))</f>
        <v>Coraopolis</v>
      </c>
      <c r="J537" s="45" t="str" cm="1">
        <f t="array" ref="J537">INDEX(_xlfn.TEXTSPLIT($H537, " "), COLUMNS(_xlfn.TEXTSPLIT($H537, " ")) - 2)</f>
        <v>PA</v>
      </c>
      <c r="K537" s="59">
        <v>500</v>
      </c>
      <c r="L537" s="59">
        <v>225</v>
      </c>
      <c r="M537" s="59">
        <v>0</v>
      </c>
      <c r="N537" s="60">
        <v>1</v>
      </c>
      <c r="O537" s="45" t="s">
        <v>1659</v>
      </c>
      <c r="P537" s="45" t="s">
        <v>51</v>
      </c>
      <c r="Q537" s="57"/>
      <c r="R537" s="45"/>
      <c r="S537" s="43"/>
      <c r="U537" s="7"/>
    </row>
    <row r="538" spans="1:21" ht="24.75" customHeight="1" x14ac:dyDescent="0.3">
      <c r="A538" s="45">
        <v>334486334</v>
      </c>
      <c r="B538" s="45" t="s">
        <v>1120</v>
      </c>
      <c r="C538" s="57">
        <v>46007</v>
      </c>
      <c r="D538" s="57">
        <v>46014</v>
      </c>
      <c r="E538" s="45" t="s">
        <v>21</v>
      </c>
      <c r="F538" s="45" t="s">
        <v>361</v>
      </c>
      <c r="G538" s="45" t="s">
        <v>1660</v>
      </c>
      <c r="H538" s="45" t="s">
        <v>1661</v>
      </c>
      <c r="I538" s="58" t="s">
        <v>1662</v>
      </c>
      <c r="J538" s="45" t="str" cm="1">
        <f t="array" ref="J538">INDEX(_xlfn.TEXTSPLIT($H538, " "), COLUMNS(_xlfn.TEXTSPLIT($H538, " ")) - 2)</f>
        <v>CA</v>
      </c>
      <c r="K538" s="59">
        <v>250</v>
      </c>
      <c r="L538" s="59">
        <v>150</v>
      </c>
      <c r="M538" s="59">
        <v>125</v>
      </c>
      <c r="N538" s="60">
        <v>1</v>
      </c>
      <c r="O538" s="45" t="s">
        <v>1663</v>
      </c>
      <c r="P538" s="45" t="s">
        <v>51</v>
      </c>
      <c r="Q538" s="57"/>
      <c r="R538" s="45" t="s">
        <v>68</v>
      </c>
      <c r="S538" s="43"/>
      <c r="U538" s="7"/>
    </row>
    <row r="539" spans="1:21" ht="24.75" customHeight="1" x14ac:dyDescent="0.3">
      <c r="A539" s="69">
        <v>342442269</v>
      </c>
      <c r="B539" s="69" t="s">
        <v>20</v>
      </c>
      <c r="C539" s="70">
        <v>46077</v>
      </c>
      <c r="D539" s="70">
        <v>46080</v>
      </c>
      <c r="E539" s="69" t="s">
        <v>21</v>
      </c>
      <c r="F539" s="69" t="s">
        <v>59</v>
      </c>
      <c r="G539" s="69" t="s">
        <v>60</v>
      </c>
      <c r="H539" s="69" t="s">
        <v>633</v>
      </c>
      <c r="I539" s="69" t="str" cm="1">
        <f t="array" ref="I539">PROPER(INDEX(_xlfn.TEXTSPLIT($H539, " "), 9))</f>
        <v>Big</v>
      </c>
      <c r="J539" s="69" t="str" cm="1">
        <f t="array" ref="J539">INDEX(_xlfn.TEXTSPLIT($H539, " "), COLUMNS(_xlfn.TEXTSPLIT($H539, " ")) - 2)</f>
        <v>VA</v>
      </c>
      <c r="K539" s="71">
        <v>550</v>
      </c>
      <c r="L539" s="71">
        <v>2786.01</v>
      </c>
      <c r="M539" s="71">
        <v>1575</v>
      </c>
      <c r="N539" s="72">
        <f>($L539-$M539)/$M539</f>
        <v>0.76889523809523819</v>
      </c>
      <c r="O539" s="69" t="s">
        <v>1664</v>
      </c>
      <c r="P539" s="69" t="s">
        <v>28</v>
      </c>
      <c r="Q539" s="70"/>
      <c r="R539" s="69"/>
      <c r="S539" s="73"/>
      <c r="U539" s="7"/>
    </row>
    <row r="540" spans="1:21" ht="24.75" customHeight="1" x14ac:dyDescent="0.3">
      <c r="A540" s="50">
        <v>342223127</v>
      </c>
      <c r="B540" s="50" t="s">
        <v>91</v>
      </c>
      <c r="C540" s="61">
        <v>46076</v>
      </c>
      <c r="D540" s="61">
        <v>46076</v>
      </c>
      <c r="E540" s="50" t="s">
        <v>21</v>
      </c>
      <c r="F540" s="50" t="s">
        <v>59</v>
      </c>
      <c r="G540" s="50" t="s">
        <v>237</v>
      </c>
      <c r="H540" s="50" t="s">
        <v>1665</v>
      </c>
      <c r="I540" s="50" t="str" cm="1">
        <f t="array" ref="I540">PROPER(INDEX(_xlfn.TEXTSPLIT($H540, " "), 9))</f>
        <v>Burnside</v>
      </c>
      <c r="J540" s="50" t="str" cm="1">
        <f t="array" ref="J540">INDEX(_xlfn.TEXTSPLIT($H540, " "), COLUMNS(_xlfn.TEXTSPLIT($H540, " ")) - 2)</f>
        <v>KY</v>
      </c>
      <c r="K540" s="62">
        <v>750</v>
      </c>
      <c r="L540" s="62">
        <v>742</v>
      </c>
      <c r="M540" s="62">
        <v>680</v>
      </c>
      <c r="N540" s="63">
        <v>1</v>
      </c>
      <c r="O540" s="50" t="s">
        <v>1666</v>
      </c>
      <c r="P540" s="50" t="s">
        <v>51</v>
      </c>
      <c r="Q540" s="61"/>
      <c r="R540" s="50"/>
      <c r="S540" s="48"/>
      <c r="U540" s="7"/>
    </row>
    <row r="541" spans="1:21" ht="24.75" customHeight="1" x14ac:dyDescent="0.3">
      <c r="A541" s="45">
        <v>341309338</v>
      </c>
      <c r="B541" s="45" t="s">
        <v>73</v>
      </c>
      <c r="C541" s="57">
        <v>46069</v>
      </c>
      <c r="D541" s="44">
        <v>46075</v>
      </c>
      <c r="E541" s="45" t="s">
        <v>21</v>
      </c>
      <c r="F541" s="45" t="s">
        <v>30</v>
      </c>
      <c r="G541" s="45" t="s">
        <v>1406</v>
      </c>
      <c r="H541" s="45" t="s">
        <v>1667</v>
      </c>
      <c r="I541" s="45" t="str" cm="1">
        <f t="array" ref="I541">PROPER(INDEX(_xlfn.TEXTSPLIT($H541, " "), 9))</f>
        <v>Lenoir</v>
      </c>
      <c r="J541" s="45" t="str" cm="1">
        <f t="array" ref="J541">INDEX(_xlfn.TEXTSPLIT($H541, " "), COLUMNS(_xlfn.TEXTSPLIT($H541, " ")) - 2)</f>
        <v>TN</v>
      </c>
      <c r="K541" s="59">
        <v>300</v>
      </c>
      <c r="L541" s="59">
        <v>170</v>
      </c>
      <c r="M541" s="59">
        <v>0</v>
      </c>
      <c r="N541" s="60">
        <v>1</v>
      </c>
      <c r="O541" s="45" t="s">
        <v>1668</v>
      </c>
      <c r="P541" s="45" t="s">
        <v>51</v>
      </c>
      <c r="Q541" s="57"/>
      <c r="R541" s="45"/>
      <c r="S541" s="43"/>
      <c r="U541" s="7"/>
    </row>
    <row r="542" spans="1:21" ht="24.75" customHeight="1" x14ac:dyDescent="0.3">
      <c r="A542" s="45">
        <v>343560846</v>
      </c>
      <c r="B542" s="45" t="s">
        <v>91</v>
      </c>
      <c r="C542" s="57">
        <v>46086</v>
      </c>
      <c r="D542" s="57">
        <v>46087</v>
      </c>
      <c r="E542" s="45" t="s">
        <v>21</v>
      </c>
      <c r="F542" s="45" t="s">
        <v>759</v>
      </c>
      <c r="G542" s="45" t="s">
        <v>1348</v>
      </c>
      <c r="H542" s="45" t="s">
        <v>1665</v>
      </c>
      <c r="I542" s="45" t="str" cm="1">
        <f t="array" ref="I542">PROPER(INDEX(_xlfn.TEXTSPLIT($H542, " "), 9))</f>
        <v>Burnside</v>
      </c>
      <c r="J542" s="45" t="s">
        <v>89</v>
      </c>
      <c r="K542" s="59">
        <v>3668.87</v>
      </c>
      <c r="L542" s="59">
        <v>3644.01</v>
      </c>
      <c r="M542" s="59">
        <v>1650</v>
      </c>
      <c r="N542" s="60">
        <f t="shared" ref="N542:N561" si="6">($L542-$M542)/$M542</f>
        <v>1.2084909090909093</v>
      </c>
      <c r="O542" s="45" t="s">
        <v>1669</v>
      </c>
      <c r="P542" s="45" t="s">
        <v>28</v>
      </c>
      <c r="Q542" s="57"/>
      <c r="R542" s="45"/>
      <c r="S542" s="43"/>
      <c r="U542" s="7"/>
    </row>
    <row r="543" spans="1:21" ht="24.75" customHeight="1" x14ac:dyDescent="0.3">
      <c r="A543" s="43">
        <v>343676627</v>
      </c>
      <c r="B543" s="43" t="s">
        <v>91</v>
      </c>
      <c r="C543" s="44">
        <v>46086</v>
      </c>
      <c r="D543" s="44">
        <v>46086</v>
      </c>
      <c r="E543" s="43" t="s">
        <v>21</v>
      </c>
      <c r="F543" s="43" t="s">
        <v>45</v>
      </c>
      <c r="G543" s="43" t="s">
        <v>46</v>
      </c>
      <c r="H543" s="45" t="s">
        <v>1670</v>
      </c>
      <c r="I543" s="58" t="s">
        <v>1671</v>
      </c>
      <c r="J543" s="43" t="str" cm="1">
        <f t="array" ref="J543">INDEX(_xlfn.TEXTSPLIT($H543, " "), COLUMNS(_xlfn.TEXTSPLIT($H543, " ")) - 2)</f>
        <v>AL</v>
      </c>
      <c r="K543" s="46">
        <v>750</v>
      </c>
      <c r="L543" s="46">
        <v>519.82000000000005</v>
      </c>
      <c r="M543" s="46">
        <v>150</v>
      </c>
      <c r="N543" s="47">
        <f t="shared" si="6"/>
        <v>2.4654666666666669</v>
      </c>
      <c r="O543" s="45" t="s">
        <v>1672</v>
      </c>
      <c r="P543" s="43" t="s">
        <v>28</v>
      </c>
      <c r="Q543" s="44"/>
      <c r="R543" s="43"/>
      <c r="S543" s="43"/>
      <c r="U543" s="7"/>
    </row>
    <row r="544" spans="1:21" ht="24.75" customHeight="1" x14ac:dyDescent="0.3">
      <c r="A544" s="73">
        <v>343678447</v>
      </c>
      <c r="B544" s="73" t="s">
        <v>20</v>
      </c>
      <c r="C544" s="74">
        <v>46087</v>
      </c>
      <c r="D544" s="74">
        <v>46088</v>
      </c>
      <c r="E544" s="73" t="s">
        <v>21</v>
      </c>
      <c r="F544" s="73" t="s">
        <v>59</v>
      </c>
      <c r="G544" s="73" t="s">
        <v>138</v>
      </c>
      <c r="H544" s="69" t="s">
        <v>1470</v>
      </c>
      <c r="I544" s="73" t="str" cm="1">
        <f t="array" ref="I544">PROPER(INDEX(_xlfn.TEXTSPLIT($H544, " "), 9))</f>
        <v>Chester</v>
      </c>
      <c r="J544" s="73" t="str" cm="1">
        <f t="array" ref="J544">INDEX(_xlfn.TEXTSPLIT($H544, " "), COLUMNS(_xlfn.TEXTSPLIT($H544, " ")) - 2)</f>
        <v>VA</v>
      </c>
      <c r="K544" s="75">
        <v>200</v>
      </c>
      <c r="L544" s="75">
        <v>8263.7000000000007</v>
      </c>
      <c r="M544" s="75">
        <v>4700</v>
      </c>
      <c r="N544" s="76">
        <f t="shared" si="6"/>
        <v>0.7582340425531916</v>
      </c>
      <c r="O544" s="69" t="s">
        <v>1673</v>
      </c>
      <c r="P544" s="73" t="s">
        <v>28</v>
      </c>
      <c r="Q544" s="74"/>
      <c r="R544" s="73"/>
      <c r="S544" s="73"/>
      <c r="U544" s="7"/>
    </row>
    <row r="545" spans="1:21" ht="24.75" customHeight="1" x14ac:dyDescent="0.3">
      <c r="A545" s="43">
        <v>338969800</v>
      </c>
      <c r="B545" s="43" t="s">
        <v>91</v>
      </c>
      <c r="C545" s="44">
        <v>46050</v>
      </c>
      <c r="D545" s="44">
        <v>46051</v>
      </c>
      <c r="E545" s="43" t="s">
        <v>21</v>
      </c>
      <c r="F545" s="43" t="s">
        <v>22</v>
      </c>
      <c r="G545" s="43" t="s">
        <v>92</v>
      </c>
      <c r="H545" s="45" t="s">
        <v>1665</v>
      </c>
      <c r="I545" s="43" t="str" cm="1">
        <f t="array" ref="I545">PROPER(INDEX(_xlfn.TEXTSPLIT($H545, " "), 9))</f>
        <v>Burnside</v>
      </c>
      <c r="J545" s="43" t="str" cm="1">
        <f t="array" ref="J545">INDEX(_xlfn.TEXTSPLIT($H545, " "), COLUMNS(_xlfn.TEXTSPLIT($H545, " ")) - 2)</f>
        <v>KY</v>
      </c>
      <c r="K545" s="46">
        <v>550</v>
      </c>
      <c r="L545" s="46">
        <v>837.37</v>
      </c>
      <c r="M545" s="46">
        <v>203.5</v>
      </c>
      <c r="N545" s="47">
        <f t="shared" si="6"/>
        <v>3.1148402948402949</v>
      </c>
      <c r="O545" s="45" t="s">
        <v>1674</v>
      </c>
      <c r="P545" s="43" t="s">
        <v>51</v>
      </c>
      <c r="Q545" s="44"/>
      <c r="R545" s="43"/>
      <c r="S545" s="43"/>
      <c r="U545" s="7"/>
    </row>
    <row r="546" spans="1:21" ht="24.75" customHeight="1" x14ac:dyDescent="0.3">
      <c r="A546" s="73">
        <v>343556034</v>
      </c>
      <c r="B546" s="73" t="s">
        <v>91</v>
      </c>
      <c r="C546" s="74">
        <v>46091</v>
      </c>
      <c r="D546" s="74">
        <v>46096</v>
      </c>
      <c r="E546" s="73" t="s">
        <v>21</v>
      </c>
      <c r="F546" s="73" t="s">
        <v>22</v>
      </c>
      <c r="G546" s="73" t="s">
        <v>92</v>
      </c>
      <c r="H546" s="69" t="s">
        <v>1675</v>
      </c>
      <c r="I546" s="73" t="str" cm="1">
        <f t="array" ref="I546">PROPER(INDEX(_xlfn.TEXTSPLIT($H546, " "), 9))</f>
        <v>Sequim</v>
      </c>
      <c r="J546" s="73" t="str" cm="1">
        <f t="array" ref="J546">INDEX(_xlfn.TEXTSPLIT($H546, " "), COLUMNS(_xlfn.TEXTSPLIT($H546, " ")) - 2)</f>
        <v>WA</v>
      </c>
      <c r="K546" s="75">
        <v>450</v>
      </c>
      <c r="L546" s="75">
        <v>392.4</v>
      </c>
      <c r="M546" s="75">
        <v>180</v>
      </c>
      <c r="N546" s="76">
        <f t="shared" si="6"/>
        <v>1.18</v>
      </c>
      <c r="O546" s="69" t="s">
        <v>1676</v>
      </c>
      <c r="P546" s="73" t="s">
        <v>28</v>
      </c>
      <c r="Q546" s="74"/>
      <c r="R546" s="73"/>
      <c r="S546" s="73"/>
      <c r="U546" s="7"/>
    </row>
    <row r="547" spans="1:21" ht="24.75" customHeight="1" x14ac:dyDescent="0.3">
      <c r="A547" s="43">
        <v>343413999</v>
      </c>
      <c r="B547" s="43" t="s">
        <v>1120</v>
      </c>
      <c r="C547" s="44">
        <v>46084</v>
      </c>
      <c r="D547" s="44">
        <v>46085</v>
      </c>
      <c r="E547" s="43" t="s">
        <v>21</v>
      </c>
      <c r="F547" s="43" t="s">
        <v>59</v>
      </c>
      <c r="G547" s="43" t="s">
        <v>617</v>
      </c>
      <c r="H547" s="45" t="s">
        <v>1677</v>
      </c>
      <c r="I547" s="43" t="str" cm="1">
        <f t="array" ref="I547">PROPER(INDEX(_xlfn.TEXTSPLIT($H547, " "), 9))</f>
        <v>Stafford</v>
      </c>
      <c r="J547" s="43" t="str" cm="1">
        <f t="array" ref="J547">INDEX(_xlfn.TEXTSPLIT($H547, " "), COLUMNS(_xlfn.TEXTSPLIT($H547, " ")) - 2)</f>
        <v>CT</v>
      </c>
      <c r="K547" s="46">
        <v>700</v>
      </c>
      <c r="L547" s="46">
        <v>584.91999999999996</v>
      </c>
      <c r="M547" s="46">
        <v>150</v>
      </c>
      <c r="N547" s="47">
        <f t="shared" si="6"/>
        <v>2.8994666666666662</v>
      </c>
      <c r="O547" s="45" t="s">
        <v>1678</v>
      </c>
      <c r="P547" s="43" t="s">
        <v>28</v>
      </c>
      <c r="Q547" s="44"/>
      <c r="R547" s="43"/>
      <c r="S547" s="43"/>
      <c r="U547" s="7"/>
    </row>
    <row r="548" spans="1:21" ht="24.75" customHeight="1" x14ac:dyDescent="0.3">
      <c r="A548" s="43">
        <v>343576667</v>
      </c>
      <c r="B548" s="43" t="s">
        <v>1120</v>
      </c>
      <c r="C548" s="44">
        <v>46086</v>
      </c>
      <c r="D548" s="44">
        <v>46087</v>
      </c>
      <c r="E548" s="43" t="s">
        <v>21</v>
      </c>
      <c r="F548" s="43" t="s">
        <v>22</v>
      </c>
      <c r="G548" s="43" t="s">
        <v>336</v>
      </c>
      <c r="H548" s="45" t="s">
        <v>1679</v>
      </c>
      <c r="I548" s="58" t="s">
        <v>1680</v>
      </c>
      <c r="J548" s="43" t="str" cm="1">
        <f t="array" ref="J548">INDEX(_xlfn.TEXTSPLIT($H548, " "), COLUMNS(_xlfn.TEXTSPLIT($H548, " ")) - 2)</f>
        <v>CT</v>
      </c>
      <c r="K548" s="46">
        <v>550</v>
      </c>
      <c r="L548" s="46">
        <v>534.62</v>
      </c>
      <c r="M548" s="46">
        <v>305</v>
      </c>
      <c r="N548" s="47">
        <f t="shared" si="6"/>
        <v>0.75285245901639342</v>
      </c>
      <c r="O548" s="45" t="s">
        <v>1681</v>
      </c>
      <c r="P548" s="43" t="s">
        <v>28</v>
      </c>
      <c r="Q548" s="44"/>
      <c r="R548" s="43"/>
      <c r="S548" s="43"/>
      <c r="U548" s="7"/>
    </row>
    <row r="549" spans="1:21" ht="24.75" customHeight="1" x14ac:dyDescent="0.3">
      <c r="A549" s="48">
        <v>343648002</v>
      </c>
      <c r="B549" s="48" t="s">
        <v>1120</v>
      </c>
      <c r="C549" s="49">
        <v>46086</v>
      </c>
      <c r="D549" s="49">
        <v>46086</v>
      </c>
      <c r="E549" s="48" t="s">
        <v>21</v>
      </c>
      <c r="F549" s="48" t="s">
        <v>59</v>
      </c>
      <c r="G549" s="48" t="s">
        <v>1036</v>
      </c>
      <c r="H549" s="50" t="s">
        <v>1556</v>
      </c>
      <c r="I549" s="48" t="str" cm="1">
        <f t="array" ref="I549">PROPER(INDEX(_xlfn.TEXTSPLIT($H549, " "), 9))</f>
        <v>Halifax</v>
      </c>
      <c r="J549" s="48" t="str" cm="1">
        <f t="array" ref="J549">INDEX(_xlfn.TEXTSPLIT($H549, " "), COLUMNS(_xlfn.TEXTSPLIT($H549, " ")) - 2)</f>
        <v>MA</v>
      </c>
      <c r="K549" s="51">
        <v>700</v>
      </c>
      <c r="L549" s="51">
        <v>298.82</v>
      </c>
      <c r="M549" s="51">
        <v>150</v>
      </c>
      <c r="N549" s="52">
        <f t="shared" si="6"/>
        <v>0.99213333333333331</v>
      </c>
      <c r="O549" s="50" t="s">
        <v>1682</v>
      </c>
      <c r="P549" s="48" t="s">
        <v>28</v>
      </c>
      <c r="Q549" s="49"/>
      <c r="R549" s="48"/>
      <c r="S549" s="48"/>
      <c r="U549" s="7"/>
    </row>
    <row r="550" spans="1:21" ht="24.75" customHeight="1" x14ac:dyDescent="0.3">
      <c r="A550" s="43">
        <v>343673022</v>
      </c>
      <c r="B550" s="43" t="s">
        <v>1120</v>
      </c>
      <c r="C550" s="44">
        <v>46086</v>
      </c>
      <c r="D550" s="44">
        <v>46086</v>
      </c>
      <c r="E550" s="43" t="s">
        <v>21</v>
      </c>
      <c r="F550" s="43" t="s">
        <v>30</v>
      </c>
      <c r="G550" s="43" t="s">
        <v>229</v>
      </c>
      <c r="H550" s="45" t="s">
        <v>1683</v>
      </c>
      <c r="I550" s="43" t="s">
        <v>1684</v>
      </c>
      <c r="J550" s="43" t="str" cm="1">
        <f t="array" ref="J550">INDEX(_xlfn.TEXTSPLIT($H550, " "), COLUMNS(_xlfn.TEXTSPLIT($H550, " ")) - 2)</f>
        <v>SC</v>
      </c>
      <c r="K550" s="46">
        <v>750</v>
      </c>
      <c r="L550" s="46">
        <v>381.49</v>
      </c>
      <c r="M550" s="46">
        <v>200</v>
      </c>
      <c r="N550" s="47">
        <f t="shared" si="6"/>
        <v>0.90745000000000009</v>
      </c>
      <c r="O550" s="45" t="s">
        <v>1685</v>
      </c>
      <c r="P550" s="43" t="s">
        <v>28</v>
      </c>
      <c r="Q550" s="44"/>
      <c r="R550" s="43"/>
      <c r="S550" s="43"/>
      <c r="U550" s="7"/>
    </row>
    <row r="551" spans="1:21" ht="24.75" customHeight="1" x14ac:dyDescent="0.3">
      <c r="A551" s="48">
        <v>341318475</v>
      </c>
      <c r="B551" s="48" t="s">
        <v>1120</v>
      </c>
      <c r="C551" s="49">
        <v>46086</v>
      </c>
      <c r="D551" s="49">
        <v>46087</v>
      </c>
      <c r="E551" s="48" t="s">
        <v>21</v>
      </c>
      <c r="F551" s="48" t="s">
        <v>22</v>
      </c>
      <c r="G551" s="48" t="s">
        <v>92</v>
      </c>
      <c r="H551" s="50" t="s">
        <v>1686</v>
      </c>
      <c r="I551" s="48" t="s">
        <v>1687</v>
      </c>
      <c r="J551" s="48" t="str" cm="1">
        <f t="array" ref="J551">INDEX(_xlfn.TEXTSPLIT($H551, " "), COLUMNS(_xlfn.TEXTSPLIT($H551, " ")) - 2)</f>
        <v>FL</v>
      </c>
      <c r="K551" s="51">
        <v>750</v>
      </c>
      <c r="L551" s="51">
        <v>522.34</v>
      </c>
      <c r="M551" s="51">
        <v>270</v>
      </c>
      <c r="N551" s="52">
        <f t="shared" si="6"/>
        <v>0.93459259259259275</v>
      </c>
      <c r="O551" s="50" t="s">
        <v>1688</v>
      </c>
      <c r="P551" s="48" t="s">
        <v>28</v>
      </c>
      <c r="Q551" s="49"/>
      <c r="R551" s="48"/>
      <c r="S551" s="48"/>
      <c r="U551" s="7"/>
    </row>
    <row r="552" spans="1:21" ht="24.75" customHeight="1" x14ac:dyDescent="0.3">
      <c r="A552" s="43">
        <v>344231346</v>
      </c>
      <c r="B552" s="43" t="s">
        <v>163</v>
      </c>
      <c r="C552" s="44">
        <v>46092</v>
      </c>
      <c r="D552" s="44">
        <v>46097</v>
      </c>
      <c r="E552" s="43" t="s">
        <v>21</v>
      </c>
      <c r="F552" s="43" t="s">
        <v>22</v>
      </c>
      <c r="G552" s="43" t="s">
        <v>1689</v>
      </c>
      <c r="H552" s="45" t="s">
        <v>1005</v>
      </c>
      <c r="I552" s="43" t="str" cm="1">
        <f t="array" ref="I552">PROPER(INDEX(_xlfn.TEXTSPLIT($H552, " "), 9))</f>
        <v>Bridgeport</v>
      </c>
      <c r="J552" s="43" t="str" cm="1">
        <f t="array" ref="J552">INDEX(_xlfn.TEXTSPLIT($H552, " "), COLUMNS(_xlfn.TEXTSPLIT($H552, " ")) - 2)</f>
        <v>CT</v>
      </c>
      <c r="K552" s="46">
        <v>250</v>
      </c>
      <c r="L552" s="46">
        <v>239.82</v>
      </c>
      <c r="M552" s="46">
        <v>25</v>
      </c>
      <c r="N552" s="47">
        <f t="shared" si="6"/>
        <v>8.5928000000000004</v>
      </c>
      <c r="O552" s="45" t="s">
        <v>1690</v>
      </c>
      <c r="P552" s="43" t="s">
        <v>28</v>
      </c>
      <c r="Q552" s="44"/>
      <c r="R552" s="43"/>
      <c r="S552" s="43"/>
      <c r="U552" s="7"/>
    </row>
    <row r="553" spans="1:21" ht="24.75" customHeight="1" x14ac:dyDescent="0.3">
      <c r="A553" s="43">
        <v>344416358</v>
      </c>
      <c r="B553" s="43" t="s">
        <v>91</v>
      </c>
      <c r="C553" s="44">
        <v>46094</v>
      </c>
      <c r="D553" s="44">
        <v>46096</v>
      </c>
      <c r="E553" s="43" t="s">
        <v>21</v>
      </c>
      <c r="F553" s="43" t="s">
        <v>59</v>
      </c>
      <c r="G553" s="43" t="s">
        <v>237</v>
      </c>
      <c r="H553" s="45" t="s">
        <v>1691</v>
      </c>
      <c r="I553" s="43" t="str" cm="1">
        <f t="array" ref="I553">PROPER(INDEX(_xlfn.TEXTSPLIT($H553, " "), 9))</f>
        <v>Athens</v>
      </c>
      <c r="J553" s="43" t="str" cm="1">
        <f t="array" ref="J553">INDEX(_xlfn.TEXTSPLIT($H553, " "), COLUMNS(_xlfn.TEXTSPLIT($H553, " ")) - 2)</f>
        <v>OH</v>
      </c>
      <c r="K553" s="46">
        <v>800</v>
      </c>
      <c r="L553" s="46">
        <v>589.88</v>
      </c>
      <c r="M553" s="46">
        <v>200</v>
      </c>
      <c r="N553" s="47">
        <f t="shared" si="6"/>
        <v>1.9494</v>
      </c>
      <c r="O553" s="45" t="s">
        <v>1692</v>
      </c>
      <c r="P553" s="43" t="s">
        <v>28</v>
      </c>
      <c r="Q553" s="44"/>
      <c r="R553" s="43"/>
      <c r="S553" s="43"/>
    </row>
    <row r="554" spans="1:21" ht="24.75" customHeight="1" x14ac:dyDescent="0.3">
      <c r="A554" s="43">
        <v>344225858</v>
      </c>
      <c r="B554" s="43" t="s">
        <v>80</v>
      </c>
      <c r="C554" s="44">
        <v>46092</v>
      </c>
      <c r="D554" s="44">
        <v>46092</v>
      </c>
      <c r="E554" s="43" t="s">
        <v>21</v>
      </c>
      <c r="F554" s="43" t="s">
        <v>59</v>
      </c>
      <c r="G554" s="43" t="s">
        <v>60</v>
      </c>
      <c r="H554" s="45" t="s">
        <v>1693</v>
      </c>
      <c r="I554" s="43" t="str" cm="1">
        <f t="array" ref="I554">PROPER(INDEX(_xlfn.TEXTSPLIT($H554, " "), 9))</f>
        <v>Tifton</v>
      </c>
      <c r="J554" s="43" t="str" cm="1">
        <f t="array" ref="J554">INDEX(_xlfn.TEXTSPLIT($H554, " "), COLUMNS(_xlfn.TEXTSPLIT($H554, " ")) - 2)</f>
        <v>GA</v>
      </c>
      <c r="K554" s="46">
        <v>400</v>
      </c>
      <c r="L554" s="46">
        <v>187.5</v>
      </c>
      <c r="M554" s="46">
        <v>100</v>
      </c>
      <c r="N554" s="47">
        <f t="shared" si="6"/>
        <v>0.875</v>
      </c>
      <c r="O554" s="45" t="s">
        <v>1694</v>
      </c>
      <c r="P554" s="43" t="s">
        <v>51</v>
      </c>
      <c r="Q554" s="44">
        <v>46093</v>
      </c>
      <c r="R554" s="43"/>
      <c r="S554" s="43"/>
      <c r="U554" s="7"/>
    </row>
    <row r="555" spans="1:21" ht="24.75" customHeight="1" x14ac:dyDescent="0.3">
      <c r="A555" s="48">
        <v>344190631</v>
      </c>
      <c r="B555" s="48" t="s">
        <v>1120</v>
      </c>
      <c r="C555" s="49">
        <v>46092</v>
      </c>
      <c r="D555" s="49">
        <v>46092</v>
      </c>
      <c r="E555" s="48" t="s">
        <v>21</v>
      </c>
      <c r="F555" s="48" t="s">
        <v>59</v>
      </c>
      <c r="G555" s="48" t="s">
        <v>60</v>
      </c>
      <c r="H555" s="50" t="s">
        <v>1695</v>
      </c>
      <c r="I555" s="48" t="s">
        <v>1696</v>
      </c>
      <c r="J555" s="48" t="str" cm="1">
        <f t="array" ref="J555">INDEX(_xlfn.TEXTSPLIT($H555, " "), COLUMNS(_xlfn.TEXTSPLIT($H555, " ")) - 2)</f>
        <v>CA</v>
      </c>
      <c r="K555" s="51">
        <v>600</v>
      </c>
      <c r="L555" s="51">
        <v>577.94000000000005</v>
      </c>
      <c r="M555" s="51">
        <v>325</v>
      </c>
      <c r="N555" s="52">
        <f t="shared" si="6"/>
        <v>0.7782769230769232</v>
      </c>
      <c r="O555" s="50" t="s">
        <v>1697</v>
      </c>
      <c r="P555" s="48" t="s">
        <v>28</v>
      </c>
      <c r="Q555" s="49"/>
      <c r="R555" s="48"/>
      <c r="S555" s="48"/>
      <c r="U555" s="7"/>
    </row>
    <row r="556" spans="1:21" ht="24.75" customHeight="1" x14ac:dyDescent="0.3">
      <c r="A556" s="73">
        <v>344509502</v>
      </c>
      <c r="B556" s="73" t="s">
        <v>1120</v>
      </c>
      <c r="C556" s="74">
        <v>46097</v>
      </c>
      <c r="D556" s="74">
        <v>46097</v>
      </c>
      <c r="E556" s="73" t="s">
        <v>21</v>
      </c>
      <c r="F556" s="73" t="s">
        <v>30</v>
      </c>
      <c r="G556" s="73" t="s">
        <v>229</v>
      </c>
      <c r="H556" s="69" t="s">
        <v>1698</v>
      </c>
      <c r="I556" s="73" t="str" cm="1">
        <f t="array" ref="I556">PROPER(INDEX(_xlfn.TEXTSPLIT($H556, " "), 9))</f>
        <v>Plattsburgh</v>
      </c>
      <c r="J556" s="73" t="str" cm="1">
        <f t="array" ref="J556">INDEX(_xlfn.TEXTSPLIT($H556, " "), COLUMNS(_xlfn.TEXTSPLIT($H556, " ")) - 2)</f>
        <v>NY</v>
      </c>
      <c r="K556" s="75">
        <v>750</v>
      </c>
      <c r="L556" s="75">
        <v>428.88</v>
      </c>
      <c r="M556" s="75">
        <v>300</v>
      </c>
      <c r="N556" s="76">
        <f t="shared" si="6"/>
        <v>0.42959999999999998</v>
      </c>
      <c r="O556" s="69" t="s">
        <v>1699</v>
      </c>
      <c r="P556" s="73" t="s">
        <v>28</v>
      </c>
      <c r="Q556" s="74"/>
      <c r="R556" s="73"/>
      <c r="S556" s="73"/>
    </row>
    <row r="557" spans="1:21" ht="24.75" customHeight="1" x14ac:dyDescent="0.3">
      <c r="A557" s="43">
        <v>344646649</v>
      </c>
      <c r="B557" s="43" t="s">
        <v>1120</v>
      </c>
      <c r="C557" s="44">
        <v>46097</v>
      </c>
      <c r="D557" s="44">
        <v>46097</v>
      </c>
      <c r="E557" s="43" t="s">
        <v>21</v>
      </c>
      <c r="F557" s="43" t="s">
        <v>59</v>
      </c>
      <c r="G557" s="43" t="s">
        <v>1700</v>
      </c>
      <c r="H557" s="45" t="s">
        <v>1701</v>
      </c>
      <c r="I557" s="43" t="str" cm="1">
        <f t="array" ref="I557">PROPER(INDEX(_xlfn.TEXTSPLIT($H557, " "), 9))</f>
        <v>Logan</v>
      </c>
      <c r="J557" s="43" t="str" cm="1">
        <f t="array" ref="J557">INDEX(_xlfn.TEXTSPLIT($H557, " "), COLUMNS(_xlfn.TEXTSPLIT($H557, " ")) - 2)</f>
        <v>PA</v>
      </c>
      <c r="K557" s="46">
        <v>1000</v>
      </c>
      <c r="L557" s="46">
        <v>876.79</v>
      </c>
      <c r="M557" s="46">
        <v>500</v>
      </c>
      <c r="N557" s="47">
        <f t="shared" si="6"/>
        <v>0.75357999999999992</v>
      </c>
      <c r="O557" s="45" t="s">
        <v>1702</v>
      </c>
      <c r="P557" s="43" t="s">
        <v>28</v>
      </c>
      <c r="Q557" s="44"/>
      <c r="R557" s="43"/>
      <c r="S557" s="43"/>
    </row>
    <row r="558" spans="1:21" ht="24.75" customHeight="1" x14ac:dyDescent="0.3">
      <c r="A558" s="43">
        <v>341860403</v>
      </c>
      <c r="B558" s="43" t="s">
        <v>1120</v>
      </c>
      <c r="C558" s="44">
        <v>46076</v>
      </c>
      <c r="D558" s="44">
        <v>46078</v>
      </c>
      <c r="E558" s="43" t="s">
        <v>21</v>
      </c>
      <c r="F558" s="43" t="s">
        <v>22</v>
      </c>
      <c r="G558" s="43" t="s">
        <v>92</v>
      </c>
      <c r="H558" s="45" t="s">
        <v>1703</v>
      </c>
      <c r="I558" s="43" t="s">
        <v>1704</v>
      </c>
      <c r="J558" s="43" t="str" cm="1">
        <f t="array" ref="J558">INDEX(_xlfn.TEXTSPLIT($H558, " "), COLUMNS(_xlfn.TEXTSPLIT($H558, " ")) - 2)</f>
        <v>SC</v>
      </c>
      <c r="K558" s="46">
        <v>750</v>
      </c>
      <c r="L558" s="46">
        <v>465.45</v>
      </c>
      <c r="M558" s="46">
        <v>350</v>
      </c>
      <c r="N558" s="47">
        <f t="shared" si="6"/>
        <v>0.32985714285714285</v>
      </c>
      <c r="O558" s="45" t="s">
        <v>1705</v>
      </c>
      <c r="P558" s="43" t="s">
        <v>28</v>
      </c>
      <c r="Q558" s="44"/>
      <c r="R558" s="43"/>
      <c r="S558" s="77">
        <v>46097</v>
      </c>
      <c r="U558" s="7"/>
    </row>
    <row r="559" spans="1:21" ht="24.75" customHeight="1" x14ac:dyDescent="0.3">
      <c r="A559" s="73">
        <v>344551472</v>
      </c>
      <c r="B559" s="73" t="s">
        <v>91</v>
      </c>
      <c r="C559" s="74">
        <v>46097</v>
      </c>
      <c r="D559" s="74">
        <v>46097</v>
      </c>
      <c r="E559" s="73" t="s">
        <v>21</v>
      </c>
      <c r="F559" s="73" t="s">
        <v>30</v>
      </c>
      <c r="G559" s="73" t="s">
        <v>1406</v>
      </c>
      <c r="H559" s="69" t="s">
        <v>1706</v>
      </c>
      <c r="I559" s="73" t="str" cm="1">
        <f t="array" ref="I559">PROPER(INDEX(_xlfn.TEXTSPLIT($H559, " "), 9))</f>
        <v>Toledo</v>
      </c>
      <c r="J559" s="73" t="str" cm="1">
        <f t="array" ref="J559">INDEX(_xlfn.TEXTSPLIT($H559, " "), COLUMNS(_xlfn.TEXTSPLIT($H559, " ")) - 2)</f>
        <v>OH</v>
      </c>
      <c r="K559" s="75">
        <v>750</v>
      </c>
      <c r="L559" s="75">
        <v>390.57</v>
      </c>
      <c r="M559" s="75">
        <v>200</v>
      </c>
      <c r="N559" s="76">
        <f t="shared" si="6"/>
        <v>0.95284999999999997</v>
      </c>
      <c r="O559" s="69" t="s">
        <v>1707</v>
      </c>
      <c r="P559" s="73" t="s">
        <v>28</v>
      </c>
      <c r="Q559" s="74"/>
      <c r="R559" s="73"/>
      <c r="S559" s="73"/>
    </row>
    <row r="560" spans="1:21" ht="24.75" customHeight="1" x14ac:dyDescent="0.3">
      <c r="A560" s="43">
        <v>344568371</v>
      </c>
      <c r="B560" s="43" t="s">
        <v>163</v>
      </c>
      <c r="C560" s="44">
        <v>46097</v>
      </c>
      <c r="D560" s="44">
        <v>46097</v>
      </c>
      <c r="E560" s="43" t="s">
        <v>21</v>
      </c>
      <c r="F560" s="43" t="s">
        <v>59</v>
      </c>
      <c r="G560" s="43" t="s">
        <v>60</v>
      </c>
      <c r="H560" s="45" t="s">
        <v>1708</v>
      </c>
      <c r="I560" s="43" t="str" cm="1">
        <f t="array" ref="I560">PROPER(INDEX(_xlfn.TEXTSPLIT($H560, " "), 9))</f>
        <v>Tucson</v>
      </c>
      <c r="J560" s="43" t="str" cm="1">
        <f t="array" ref="J560">INDEX(_xlfn.TEXTSPLIT($H560, " "), COLUMNS(_xlfn.TEXTSPLIT($H560, " ")) - 2)</f>
        <v>AZ</v>
      </c>
      <c r="K560" s="46">
        <v>400</v>
      </c>
      <c r="L560" s="46">
        <v>594.92999999999995</v>
      </c>
      <c r="M560" s="46">
        <v>225</v>
      </c>
      <c r="N560" s="47">
        <f t="shared" si="6"/>
        <v>1.644133333333333</v>
      </c>
      <c r="O560" s="45" t="s">
        <v>1709</v>
      </c>
      <c r="P560" s="43" t="s">
        <v>28</v>
      </c>
      <c r="Q560" s="44"/>
      <c r="R560" s="43"/>
      <c r="S560" s="43"/>
    </row>
    <row r="561" spans="1:21" ht="24.75" customHeight="1" x14ac:dyDescent="0.3">
      <c r="A561" s="43">
        <v>344448124</v>
      </c>
      <c r="B561" s="43" t="s">
        <v>91</v>
      </c>
      <c r="C561" s="44">
        <v>46094</v>
      </c>
      <c r="D561" s="44">
        <v>46094</v>
      </c>
      <c r="E561" s="43" t="s">
        <v>21</v>
      </c>
      <c r="F561" s="43" t="s">
        <v>30</v>
      </c>
      <c r="G561" s="43" t="s">
        <v>229</v>
      </c>
      <c r="H561" s="45" t="s">
        <v>1710</v>
      </c>
      <c r="I561" s="43" t="str" cm="1">
        <f t="array" ref="I561">PROPER(INDEX(_xlfn.TEXTSPLIT($H561, " "), 9))</f>
        <v>Zion</v>
      </c>
      <c r="J561" s="43" t="str" cm="1">
        <f t="array" ref="J561">INDEX(_xlfn.TEXTSPLIT($H561, " "), COLUMNS(_xlfn.TEXTSPLIT($H561, " ")) - 2)</f>
        <v>IL</v>
      </c>
      <c r="K561" s="46">
        <v>950</v>
      </c>
      <c r="L561" s="46">
        <v>497.55</v>
      </c>
      <c r="M561" s="46">
        <v>200</v>
      </c>
      <c r="N561" s="47">
        <f t="shared" si="6"/>
        <v>1.4877500000000001</v>
      </c>
      <c r="O561" s="45" t="s">
        <v>1711</v>
      </c>
      <c r="P561" s="43" t="s">
        <v>28</v>
      </c>
      <c r="Q561" s="44"/>
      <c r="R561" s="43"/>
      <c r="S561" s="43"/>
    </row>
    <row r="562" spans="1:21" ht="24.75" customHeight="1" x14ac:dyDescent="0.3">
      <c r="A562" s="73">
        <v>344093547</v>
      </c>
      <c r="B562" s="73" t="s">
        <v>29</v>
      </c>
      <c r="C562" s="74">
        <v>46091</v>
      </c>
      <c r="D562" s="74">
        <v>46092</v>
      </c>
      <c r="E562" s="73" t="s">
        <v>21</v>
      </c>
      <c r="F562" s="73" t="s">
        <v>30</v>
      </c>
      <c r="G562" s="73" t="s">
        <v>1712</v>
      </c>
      <c r="H562" s="69" t="s">
        <v>1713</v>
      </c>
      <c r="I562" s="78" t="s">
        <v>969</v>
      </c>
      <c r="J562" s="73" t="str" cm="1">
        <f t="array" ref="J562">INDEX(_xlfn.TEXTSPLIT($H562, " "), COLUMNS(_xlfn.TEXTSPLIT($H562, " ")) - 2)</f>
        <v>NV</v>
      </c>
      <c r="K562" s="75">
        <v>750</v>
      </c>
      <c r="L562" s="75">
        <v>150</v>
      </c>
      <c r="M562" s="75">
        <v>0</v>
      </c>
      <c r="N562" s="76">
        <v>1</v>
      </c>
      <c r="O562" s="69" t="s">
        <v>1714</v>
      </c>
      <c r="P562" s="73" t="s">
        <v>51</v>
      </c>
      <c r="Q562" s="74">
        <v>46094</v>
      </c>
      <c r="R562" s="73"/>
      <c r="S562" s="73"/>
      <c r="U562" s="7"/>
    </row>
    <row r="563" spans="1:21" ht="24.75" customHeight="1" x14ac:dyDescent="0.3">
      <c r="A563" s="43">
        <v>344659659</v>
      </c>
      <c r="B563" s="43" t="s">
        <v>80</v>
      </c>
      <c r="C563" s="44">
        <v>46097</v>
      </c>
      <c r="D563" s="44">
        <v>46098</v>
      </c>
      <c r="E563" s="43" t="s">
        <v>21</v>
      </c>
      <c r="F563" s="43" t="s">
        <v>759</v>
      </c>
      <c r="G563" s="43" t="s">
        <v>1715</v>
      </c>
      <c r="H563" s="45" t="s">
        <v>1693</v>
      </c>
      <c r="I563" s="43" t="s">
        <v>1716</v>
      </c>
      <c r="J563" s="43" t="str" cm="1">
        <f t="array" ref="J563">INDEX(_xlfn.TEXTSPLIT($H563, " "), COLUMNS(_xlfn.TEXTSPLIT($H563, " ")) - 2)</f>
        <v>GA</v>
      </c>
      <c r="K563" s="46">
        <v>1950</v>
      </c>
      <c r="L563" s="46">
        <v>1773.52</v>
      </c>
      <c r="M563" s="46">
        <v>723</v>
      </c>
      <c r="N563" s="47">
        <f t="shared" ref="N563:N571" si="7">($L563-$M563)/$M563</f>
        <v>1.4530013831258644</v>
      </c>
      <c r="O563" s="45" t="s">
        <v>1717</v>
      </c>
      <c r="P563" s="43" t="s">
        <v>28</v>
      </c>
      <c r="Q563" s="44"/>
      <c r="R563" s="43"/>
      <c r="S563" s="43"/>
    </row>
    <row r="564" spans="1:21" ht="24.75" customHeight="1" x14ac:dyDescent="0.3">
      <c r="A564" s="73">
        <v>344801567</v>
      </c>
      <c r="B564" s="73" t="s">
        <v>80</v>
      </c>
      <c r="C564" s="74">
        <v>46098</v>
      </c>
      <c r="D564" s="74">
        <v>46098</v>
      </c>
      <c r="E564" s="73" t="s">
        <v>21</v>
      </c>
      <c r="F564" s="73" t="s">
        <v>30</v>
      </c>
      <c r="G564" s="73" t="s">
        <v>229</v>
      </c>
      <c r="H564" s="69" t="s">
        <v>1718</v>
      </c>
      <c r="I564" s="73" t="str" cm="1">
        <f t="array" ref="I564">PROPER(INDEX(_xlfn.TEXTSPLIT($H564, " "), 9))</f>
        <v>Watertown</v>
      </c>
      <c r="J564" s="73" t="str" cm="1">
        <f t="array" ref="J564">INDEX(_xlfn.TEXTSPLIT($H564, " "), COLUMNS(_xlfn.TEXTSPLIT($H564, " ")) - 2)</f>
        <v>NY</v>
      </c>
      <c r="K564" s="75">
        <v>750</v>
      </c>
      <c r="L564" s="75">
        <v>491.13</v>
      </c>
      <c r="M564" s="75">
        <v>138</v>
      </c>
      <c r="N564" s="76">
        <f t="shared" si="7"/>
        <v>2.558913043478261</v>
      </c>
      <c r="O564" s="69" t="s">
        <v>1719</v>
      </c>
      <c r="P564" s="73" t="s">
        <v>28</v>
      </c>
      <c r="Q564" s="74"/>
      <c r="R564" s="73"/>
      <c r="S564" s="73"/>
    </row>
    <row r="565" spans="1:21" ht="24.75" customHeight="1" x14ac:dyDescent="0.3">
      <c r="A565" s="43">
        <v>341206041</v>
      </c>
      <c r="B565" s="43" t="s">
        <v>20</v>
      </c>
      <c r="C565" s="44">
        <v>46072</v>
      </c>
      <c r="D565" s="44">
        <v>46072</v>
      </c>
      <c r="E565" s="43" t="s">
        <v>21</v>
      </c>
      <c r="F565" s="43" t="s">
        <v>22</v>
      </c>
      <c r="G565" s="43" t="s">
        <v>1088</v>
      </c>
      <c r="H565" s="45" t="s">
        <v>1720</v>
      </c>
      <c r="I565" s="43" t="str" cm="1">
        <f t="array" ref="I565">PROPER(INDEX(_xlfn.TEXTSPLIT($H565, " "), 9))</f>
        <v>Garden</v>
      </c>
      <c r="J565" s="43" t="str" cm="1">
        <f t="array" ref="J565">INDEX(_xlfn.TEXTSPLIT($H565, " "), COLUMNS(_xlfn.TEXTSPLIT($H565, " ")) - 2)</f>
        <v>GA</v>
      </c>
      <c r="K565" s="46">
        <v>750</v>
      </c>
      <c r="L565" s="46">
        <v>1739.26</v>
      </c>
      <c r="M565" s="46">
        <v>939.78</v>
      </c>
      <c r="N565" s="47">
        <f t="shared" si="7"/>
        <v>0.85070974057758209</v>
      </c>
      <c r="O565" s="45" t="s">
        <v>1721</v>
      </c>
      <c r="P565" s="43" t="s">
        <v>28</v>
      </c>
      <c r="Q565" s="44">
        <v>46076</v>
      </c>
      <c r="R565" s="43"/>
      <c r="S565" s="43"/>
      <c r="U565" s="7"/>
    </row>
    <row r="566" spans="1:21" ht="24.75" customHeight="1" x14ac:dyDescent="0.3">
      <c r="A566" s="73">
        <v>344932180</v>
      </c>
      <c r="B566" s="73" t="s">
        <v>20</v>
      </c>
      <c r="C566" s="74">
        <v>46099</v>
      </c>
      <c r="D566" s="74">
        <v>46099</v>
      </c>
      <c r="E566" s="73" t="s">
        <v>21</v>
      </c>
      <c r="F566" s="73" t="s">
        <v>22</v>
      </c>
      <c r="G566" s="73" t="s">
        <v>1544</v>
      </c>
      <c r="H566" s="69" t="s">
        <v>1722</v>
      </c>
      <c r="I566" s="73" t="str" cm="1">
        <f t="array" ref="I566">PROPER(INDEX(_xlfn.TEXTSPLIT($H566, " "), 9))</f>
        <v>Garden</v>
      </c>
      <c r="J566" s="73" t="str" cm="1">
        <f t="array" ref="J566">INDEX(_xlfn.TEXTSPLIT($H566, " "), COLUMNS(_xlfn.TEXTSPLIT($H566, " ")) - 2)</f>
        <v>GA</v>
      </c>
      <c r="K566" s="75">
        <v>750</v>
      </c>
      <c r="L566" s="75">
        <v>291.13</v>
      </c>
      <c r="M566" s="75">
        <v>25</v>
      </c>
      <c r="N566" s="76">
        <f t="shared" si="7"/>
        <v>10.645199999999999</v>
      </c>
      <c r="O566" s="69" t="s">
        <v>1723</v>
      </c>
      <c r="P566" s="73" t="s">
        <v>28</v>
      </c>
      <c r="Q566" s="74"/>
      <c r="R566" s="73"/>
      <c r="S566" s="73"/>
    </row>
    <row r="567" spans="1:21" ht="24.75" customHeight="1" x14ac:dyDescent="0.3">
      <c r="A567" s="43">
        <v>344902402</v>
      </c>
      <c r="B567" s="43" t="s">
        <v>80</v>
      </c>
      <c r="C567" s="44">
        <v>46099</v>
      </c>
      <c r="D567" s="44">
        <v>46100</v>
      </c>
      <c r="E567" s="43" t="s">
        <v>21</v>
      </c>
      <c r="F567" s="43" t="s">
        <v>45</v>
      </c>
      <c r="G567" s="43" t="s">
        <v>46</v>
      </c>
      <c r="H567" s="45" t="s">
        <v>1724</v>
      </c>
      <c r="I567" s="43" t="str" cm="1">
        <f t="array" ref="I567">PROPER(INDEX(_xlfn.TEXTSPLIT($H567, " "), 9))</f>
        <v>Lima</v>
      </c>
      <c r="J567" s="43" t="str" cm="1">
        <f t="array" ref="J567">INDEX(_xlfn.TEXTSPLIT($H567, " "), COLUMNS(_xlfn.TEXTSPLIT($H567, " ")) - 2)</f>
        <v>OH</v>
      </c>
      <c r="K567" s="46">
        <v>550</v>
      </c>
      <c r="L567" s="46">
        <v>240.41</v>
      </c>
      <c r="M567" s="46">
        <v>50</v>
      </c>
      <c r="N567" s="47">
        <f t="shared" si="7"/>
        <v>3.8081999999999998</v>
      </c>
      <c r="O567" s="45" t="s">
        <v>1725</v>
      </c>
      <c r="P567" s="43" t="s">
        <v>28</v>
      </c>
      <c r="Q567" s="44"/>
      <c r="R567" s="43"/>
      <c r="S567" s="43"/>
    </row>
    <row r="568" spans="1:21" ht="24.75" customHeight="1" x14ac:dyDescent="0.3">
      <c r="A568" s="73">
        <v>342766239</v>
      </c>
      <c r="B568" s="73" t="s">
        <v>20</v>
      </c>
      <c r="C568" s="74">
        <v>46099</v>
      </c>
      <c r="D568" s="74">
        <v>46099</v>
      </c>
      <c r="E568" s="73" t="s">
        <v>21</v>
      </c>
      <c r="F568" s="73" t="s">
        <v>30</v>
      </c>
      <c r="G568" s="73" t="s">
        <v>229</v>
      </c>
      <c r="H568" s="69" t="s">
        <v>1726</v>
      </c>
      <c r="I568" s="73" t="s">
        <v>969</v>
      </c>
      <c r="J568" s="73" t="str" cm="1">
        <f t="array" ref="J568">INDEX(_xlfn.TEXTSPLIT($H568, " "), COLUMNS(_xlfn.TEXTSPLIT($H568, " ")) - 2)</f>
        <v>NV</v>
      </c>
      <c r="K568" s="75">
        <v>750</v>
      </c>
      <c r="L568" s="75">
        <v>699.04</v>
      </c>
      <c r="M568" s="75">
        <v>350</v>
      </c>
      <c r="N568" s="76">
        <f t="shared" si="7"/>
        <v>0.99725714285714273</v>
      </c>
      <c r="O568" s="69" t="s">
        <v>1727</v>
      </c>
      <c r="P568" s="73" t="s">
        <v>28</v>
      </c>
      <c r="Q568" s="74"/>
      <c r="R568" s="73"/>
      <c r="S568" s="73"/>
    </row>
    <row r="569" spans="1:21" ht="24.75" customHeight="1" x14ac:dyDescent="0.3">
      <c r="A569" s="43">
        <v>341574782</v>
      </c>
      <c r="B569" s="43" t="s">
        <v>20</v>
      </c>
      <c r="C569" s="44">
        <v>46078</v>
      </c>
      <c r="D569" s="44">
        <v>46080</v>
      </c>
      <c r="E569" s="43" t="s">
        <v>21</v>
      </c>
      <c r="F569" s="43" t="s">
        <v>22</v>
      </c>
      <c r="G569" s="43" t="s">
        <v>466</v>
      </c>
      <c r="H569" s="45" t="s">
        <v>1728</v>
      </c>
      <c r="I569" s="43" t="str" cm="1">
        <f t="array" ref="I569">PROPER(INDEX(_xlfn.TEXTSPLIT($H569, " "), 9))</f>
        <v>Brockton</v>
      </c>
      <c r="J569" s="43" t="str" cm="1">
        <f t="array" ref="J569">INDEX(_xlfn.TEXTSPLIT($H569, " "), COLUMNS(_xlfn.TEXTSPLIT($H569, " ")) - 2)</f>
        <v>BROCKTON,</v>
      </c>
      <c r="K569" s="46">
        <v>750</v>
      </c>
      <c r="L569" s="46">
        <v>496.87</v>
      </c>
      <c r="M569" s="46">
        <v>250</v>
      </c>
      <c r="N569" s="47">
        <f t="shared" si="7"/>
        <v>0.98748000000000002</v>
      </c>
      <c r="O569" s="45" t="s">
        <v>1729</v>
      </c>
      <c r="P569" s="43" t="s">
        <v>28</v>
      </c>
      <c r="Q569" s="44"/>
      <c r="R569" s="43"/>
      <c r="S569" s="43"/>
      <c r="U569" s="7"/>
    </row>
    <row r="570" spans="1:21" ht="24.75" customHeight="1" x14ac:dyDescent="0.3">
      <c r="A570" s="73">
        <v>340291139</v>
      </c>
      <c r="B570" s="73" t="s">
        <v>91</v>
      </c>
      <c r="C570" s="74">
        <v>46058</v>
      </c>
      <c r="D570" s="74">
        <v>46086</v>
      </c>
      <c r="E570" s="73" t="s">
        <v>21</v>
      </c>
      <c r="F570" s="73" t="s">
        <v>22</v>
      </c>
      <c r="G570" s="73" t="s">
        <v>92</v>
      </c>
      <c r="H570" s="69" t="s">
        <v>1730</v>
      </c>
      <c r="I570" s="73" t="str" cm="1">
        <f t="array" ref="I570">PROPER(INDEX(_xlfn.TEXTSPLIT($H570, " "), 9))</f>
        <v>Beaver</v>
      </c>
      <c r="J570" s="73" t="str" cm="1">
        <f t="array" ref="J570">INDEX(_xlfn.TEXTSPLIT($H570, " "), COLUMNS(_xlfn.TEXTSPLIT($H570, " ")) - 2)</f>
        <v>PA</v>
      </c>
      <c r="K570" s="75">
        <v>1000</v>
      </c>
      <c r="L570" s="75">
        <v>963.09</v>
      </c>
      <c r="M570" s="75">
        <v>622</v>
      </c>
      <c r="N570" s="76">
        <f t="shared" si="7"/>
        <v>0.54837620578778146</v>
      </c>
      <c r="O570" s="69" t="s">
        <v>1731</v>
      </c>
      <c r="P570" s="73" t="s">
        <v>28</v>
      </c>
      <c r="Q570" s="74"/>
      <c r="R570" s="73" t="s">
        <v>1732</v>
      </c>
      <c r="S570" s="79">
        <v>46098</v>
      </c>
      <c r="U570" s="7"/>
    </row>
    <row r="571" spans="1:21" ht="24.75" customHeight="1" x14ac:dyDescent="0.3">
      <c r="A571" s="73">
        <v>339327530</v>
      </c>
      <c r="B571" s="73" t="s">
        <v>80</v>
      </c>
      <c r="C571" s="74">
        <v>46099</v>
      </c>
      <c r="D571" s="74">
        <v>46105</v>
      </c>
      <c r="E571" s="73" t="s">
        <v>21</v>
      </c>
      <c r="F571" s="73" t="s">
        <v>38</v>
      </c>
      <c r="G571" s="73" t="s">
        <v>1484</v>
      </c>
      <c r="H571" s="69" t="s">
        <v>1733</v>
      </c>
      <c r="I571" s="73" t="str" cm="1">
        <f t="array" ref="I571">PROPER(INDEX(_xlfn.TEXTSPLIT($H571, " "), 9))</f>
        <v>Warwick</v>
      </c>
      <c r="J571" s="73" t="str" cm="1">
        <f t="array" ref="J571">INDEX(_xlfn.TEXTSPLIT($H571, " "), COLUMNS(_xlfn.TEXTSPLIT($H571, " ")) - 2)</f>
        <v>RI</v>
      </c>
      <c r="K571" s="75">
        <v>500</v>
      </c>
      <c r="L571" s="75">
        <v>392.87</v>
      </c>
      <c r="M571" s="75">
        <v>150</v>
      </c>
      <c r="N571" s="76">
        <f t="shared" si="7"/>
        <v>1.6191333333333333</v>
      </c>
      <c r="O571" s="69" t="s">
        <v>1734</v>
      </c>
      <c r="P571" s="73" t="s">
        <v>28</v>
      </c>
      <c r="Q571" s="74"/>
      <c r="R571" s="73"/>
      <c r="S571" s="73"/>
    </row>
    <row r="572" spans="1:21" ht="24.75" customHeight="1" x14ac:dyDescent="0.3">
      <c r="A572" s="73">
        <v>334593950</v>
      </c>
      <c r="B572" s="80" t="s">
        <v>91</v>
      </c>
      <c r="C572" s="74">
        <v>46007</v>
      </c>
      <c r="D572" s="74">
        <v>46009</v>
      </c>
      <c r="E572" s="73" t="s">
        <v>21</v>
      </c>
      <c r="F572" s="73" t="s">
        <v>38</v>
      </c>
      <c r="G572" s="73" t="s">
        <v>1735</v>
      </c>
      <c r="H572" s="69" t="s">
        <v>965</v>
      </c>
      <c r="I572" s="73" t="str" cm="1">
        <f t="array" ref="I572">PROPER(INDEX(_xlfn.TEXTSPLIT($H572, " "), 9))</f>
        <v>Cobleskill</v>
      </c>
      <c r="J572" s="73" t="str" cm="1">
        <f t="array" ref="J572">INDEX(_xlfn.TEXTSPLIT($H572, " "), COLUMNS(_xlfn.TEXTSPLIT($H572, " ")) - 2)</f>
        <v>NY</v>
      </c>
      <c r="K572" s="75">
        <v>250</v>
      </c>
      <c r="L572" s="75">
        <v>170</v>
      </c>
      <c r="M572" s="75">
        <v>0</v>
      </c>
      <c r="N572" s="76">
        <v>1</v>
      </c>
      <c r="O572" s="69" t="s">
        <v>1736</v>
      </c>
      <c r="P572" s="73" t="s">
        <v>51</v>
      </c>
      <c r="Q572" s="74">
        <v>46052</v>
      </c>
      <c r="R572" s="73"/>
      <c r="S572" s="73"/>
      <c r="U572" s="7"/>
    </row>
    <row r="573" spans="1:21" ht="24.75" customHeight="1" x14ac:dyDescent="0.3">
      <c r="A573" s="43">
        <v>337804502</v>
      </c>
      <c r="B573" s="43" t="s">
        <v>163</v>
      </c>
      <c r="C573" s="44">
        <v>46034</v>
      </c>
      <c r="D573" s="44">
        <v>46036</v>
      </c>
      <c r="E573" s="43" t="s">
        <v>21</v>
      </c>
      <c r="F573" s="43" t="s">
        <v>38</v>
      </c>
      <c r="G573" s="43" t="s">
        <v>109</v>
      </c>
      <c r="H573" s="45" t="s">
        <v>1005</v>
      </c>
      <c r="I573" s="43" t="str" cm="1">
        <f t="array" ref="I573">PROPER(INDEX(_xlfn.TEXTSPLIT($H573, " "), 9))</f>
        <v>Bridgeport</v>
      </c>
      <c r="J573" s="43" t="str" cm="1">
        <f t="array" ref="J573">INDEX(_xlfn.TEXTSPLIT($H573, " "), COLUMNS(_xlfn.TEXTSPLIT($H573, " ")) - 2)</f>
        <v>CT</v>
      </c>
      <c r="K573" s="46">
        <v>750</v>
      </c>
      <c r="L573" s="46">
        <v>1592.33</v>
      </c>
      <c r="M573" s="46">
        <v>900</v>
      </c>
      <c r="N573" s="47">
        <f t="shared" ref="N573:N583" si="8">($L573-$M573)/$M573</f>
        <v>0.76925555555555547</v>
      </c>
      <c r="O573" s="45" t="s">
        <v>1737</v>
      </c>
      <c r="P573" s="43" t="s">
        <v>28</v>
      </c>
      <c r="Q573" s="44"/>
      <c r="R573" s="43"/>
      <c r="S573" s="77">
        <v>46097</v>
      </c>
      <c r="U573" s="7"/>
    </row>
    <row r="574" spans="1:21" ht="24.75" customHeight="1" x14ac:dyDescent="0.3">
      <c r="A574" s="73">
        <v>338234072</v>
      </c>
      <c r="B574" s="73" t="s">
        <v>73</v>
      </c>
      <c r="C574" s="74">
        <v>46051</v>
      </c>
      <c r="D574" s="74">
        <v>46062</v>
      </c>
      <c r="E574" s="73" t="s">
        <v>21</v>
      </c>
      <c r="F574" s="73" t="s">
        <v>38</v>
      </c>
      <c r="G574" s="73" t="s">
        <v>1159</v>
      </c>
      <c r="H574" s="69" t="s">
        <v>1738</v>
      </c>
      <c r="I574" s="73" t="str" cm="1">
        <f t="array" ref="I574">PROPER(INDEX(_xlfn.TEXTSPLIT($H574, " "), 9))</f>
        <v>Pelham</v>
      </c>
      <c r="J574" s="73" t="str" cm="1">
        <f t="array" ref="J574">INDEX(_xlfn.TEXTSPLIT($H574, " "), COLUMNS(_xlfn.TEXTSPLIT($H574, " ")) - 2)</f>
        <v>AL</v>
      </c>
      <c r="K574" s="75">
        <v>600</v>
      </c>
      <c r="L574" s="81">
        <v>1506.93</v>
      </c>
      <c r="M574" s="75">
        <v>850</v>
      </c>
      <c r="N574" s="76">
        <f t="shared" si="8"/>
        <v>0.77285882352941182</v>
      </c>
      <c r="O574" s="69" t="s">
        <v>1739</v>
      </c>
      <c r="P574" s="73" t="s">
        <v>28</v>
      </c>
      <c r="Q574" s="74"/>
      <c r="R574" s="73"/>
      <c r="S574" s="79">
        <v>46104</v>
      </c>
      <c r="U574" s="7"/>
    </row>
    <row r="575" spans="1:21" ht="24.75" customHeight="1" x14ac:dyDescent="0.3">
      <c r="A575" s="43">
        <v>344965486</v>
      </c>
      <c r="B575" s="43" t="s">
        <v>20</v>
      </c>
      <c r="C575" s="44">
        <v>46100</v>
      </c>
      <c r="D575" s="44">
        <v>46100</v>
      </c>
      <c r="E575" s="43" t="s">
        <v>21</v>
      </c>
      <c r="F575" s="43" t="s">
        <v>59</v>
      </c>
      <c r="G575" s="43" t="s">
        <v>237</v>
      </c>
      <c r="H575" s="45" t="s">
        <v>975</v>
      </c>
      <c r="I575" s="43" t="str" cm="1">
        <f t="array" ref="I575">PROPER(INDEX(_xlfn.TEXTSPLIT($H575, " "), 9))</f>
        <v>Kent</v>
      </c>
      <c r="J575" s="43" t="str" cm="1">
        <f t="array" ref="J575">INDEX(_xlfn.TEXTSPLIT($H575, " "), COLUMNS(_xlfn.TEXTSPLIT($H575, " ")) - 2)</f>
        <v>WA</v>
      </c>
      <c r="K575" s="46">
        <v>650</v>
      </c>
      <c r="L575" s="46">
        <v>1959.6</v>
      </c>
      <c r="M575" s="46">
        <v>1125</v>
      </c>
      <c r="N575" s="47">
        <f t="shared" si="8"/>
        <v>0.74186666666666656</v>
      </c>
      <c r="O575" s="45" t="s">
        <v>1740</v>
      </c>
      <c r="P575" s="43" t="s">
        <v>28</v>
      </c>
      <c r="Q575" s="44"/>
      <c r="R575" s="43" t="s">
        <v>68</v>
      </c>
      <c r="S575" s="43"/>
    </row>
    <row r="576" spans="1:21" ht="24.75" customHeight="1" x14ac:dyDescent="0.3">
      <c r="A576" s="43">
        <v>342494910</v>
      </c>
      <c r="B576" s="43" t="s">
        <v>20</v>
      </c>
      <c r="C576" s="44">
        <v>46078</v>
      </c>
      <c r="D576" s="44">
        <v>46078</v>
      </c>
      <c r="E576" s="43" t="s">
        <v>21</v>
      </c>
      <c r="F576" s="43" t="s">
        <v>59</v>
      </c>
      <c r="G576" s="43" t="s">
        <v>237</v>
      </c>
      <c r="H576" s="45" t="s">
        <v>1741</v>
      </c>
      <c r="I576" s="43" t="str" cm="1">
        <f t="array" ref="I576">PROPER(INDEX(_xlfn.TEXTSPLIT($H576, " "), 9))</f>
        <v>Colonie</v>
      </c>
      <c r="J576" s="43" t="str" cm="1">
        <f t="array" ref="J576">INDEX(_xlfn.TEXTSPLIT($H576, " "), COLUMNS(_xlfn.TEXTSPLIT($H576, " ")) - 2)</f>
        <v>NY</v>
      </c>
      <c r="K576" s="46">
        <v>1000</v>
      </c>
      <c r="L576" s="46">
        <v>2165.4</v>
      </c>
      <c r="M576" s="46">
        <v>1750</v>
      </c>
      <c r="N576" s="47">
        <f t="shared" si="8"/>
        <v>0.23737142857142862</v>
      </c>
      <c r="O576" s="45" t="s">
        <v>1742</v>
      </c>
      <c r="P576" s="43" t="s">
        <v>28</v>
      </c>
      <c r="Q576" s="44">
        <v>46084</v>
      </c>
      <c r="R576" s="43"/>
      <c r="S576" s="43"/>
      <c r="U576" s="7"/>
    </row>
    <row r="577" spans="1:21" ht="24.75" customHeight="1" x14ac:dyDescent="0.3">
      <c r="A577" s="43">
        <v>344839888</v>
      </c>
      <c r="B577" s="43" t="s">
        <v>163</v>
      </c>
      <c r="C577" s="44">
        <v>46101</v>
      </c>
      <c r="D577" s="44">
        <v>46103</v>
      </c>
      <c r="E577" s="43" t="s">
        <v>21</v>
      </c>
      <c r="F577" s="43" t="s">
        <v>59</v>
      </c>
      <c r="G577" s="43" t="s">
        <v>725</v>
      </c>
      <c r="H577" s="45" t="s">
        <v>1743</v>
      </c>
      <c r="I577" s="43" t="s">
        <v>1744</v>
      </c>
      <c r="J577" s="43" t="s">
        <v>1146</v>
      </c>
      <c r="K577" s="46">
        <v>750</v>
      </c>
      <c r="L577" s="46">
        <v>722.25</v>
      </c>
      <c r="M577" s="46">
        <v>380</v>
      </c>
      <c r="N577" s="47">
        <f t="shared" si="8"/>
        <v>0.9006578947368421</v>
      </c>
      <c r="O577" s="45" t="s">
        <v>1745</v>
      </c>
      <c r="P577" s="43" t="s">
        <v>28</v>
      </c>
      <c r="Q577" s="44"/>
      <c r="R577" s="43"/>
      <c r="S577" s="43"/>
    </row>
    <row r="578" spans="1:21" ht="24.75" customHeight="1" x14ac:dyDescent="0.3">
      <c r="A578" s="73">
        <v>339729113</v>
      </c>
      <c r="B578" s="73" t="s">
        <v>29</v>
      </c>
      <c r="C578" s="74">
        <v>46063</v>
      </c>
      <c r="D578" s="74">
        <v>46065</v>
      </c>
      <c r="E578" s="73" t="s">
        <v>21</v>
      </c>
      <c r="F578" s="73" t="s">
        <v>22</v>
      </c>
      <c r="G578" s="73" t="s">
        <v>92</v>
      </c>
      <c r="H578" s="69" t="s">
        <v>1746</v>
      </c>
      <c r="I578" s="73" t="str" cm="1">
        <f t="array" ref="I578">PROPER(INDEX(_xlfn.TEXTSPLIT($H578, " "), 9))</f>
        <v>Madisonville</v>
      </c>
      <c r="J578" s="73" t="str" cm="1">
        <f t="array" ref="J578">INDEX(_xlfn.TEXTSPLIT($H578, " "), COLUMNS(_xlfn.TEXTSPLIT($H578, " ")) - 2)</f>
        <v>KY</v>
      </c>
      <c r="K578" s="75">
        <v>550</v>
      </c>
      <c r="L578" s="75">
        <v>381.6</v>
      </c>
      <c r="M578" s="75">
        <v>200</v>
      </c>
      <c r="N578" s="76">
        <f t="shared" si="8"/>
        <v>0.90800000000000014</v>
      </c>
      <c r="O578" s="69" t="s">
        <v>1747</v>
      </c>
      <c r="P578" s="73" t="s">
        <v>28</v>
      </c>
      <c r="Q578" s="74">
        <v>46076</v>
      </c>
      <c r="R578" s="73"/>
      <c r="S578" s="73"/>
      <c r="U578" s="7"/>
    </row>
    <row r="579" spans="1:21" ht="24.75" customHeight="1" x14ac:dyDescent="0.3">
      <c r="A579" s="73">
        <v>344824556</v>
      </c>
      <c r="B579" s="73" t="s">
        <v>29</v>
      </c>
      <c r="C579" s="74">
        <v>46101</v>
      </c>
      <c r="D579" s="74">
        <v>46102</v>
      </c>
      <c r="E579" s="73" t="s">
        <v>21</v>
      </c>
      <c r="F579" s="73" t="s">
        <v>59</v>
      </c>
      <c r="G579" s="73" t="s">
        <v>60</v>
      </c>
      <c r="H579" s="69" t="s">
        <v>1748</v>
      </c>
      <c r="I579" s="73" t="s">
        <v>1749</v>
      </c>
      <c r="J579" s="73" t="s">
        <v>216</v>
      </c>
      <c r="K579" s="75">
        <v>650</v>
      </c>
      <c r="L579" s="75">
        <v>463.36</v>
      </c>
      <c r="M579" s="75">
        <v>250</v>
      </c>
      <c r="N579" s="76">
        <f t="shared" si="8"/>
        <v>0.85344000000000009</v>
      </c>
      <c r="O579" s="69" t="s">
        <v>1750</v>
      </c>
      <c r="P579" s="73" t="s">
        <v>28</v>
      </c>
      <c r="Q579" s="74"/>
      <c r="R579" s="73"/>
      <c r="S579" s="73"/>
    </row>
    <row r="580" spans="1:21" ht="24.75" customHeight="1" x14ac:dyDescent="0.3">
      <c r="A580" s="43">
        <v>344442958</v>
      </c>
      <c r="B580" s="43" t="s">
        <v>29</v>
      </c>
      <c r="C580" s="44">
        <v>46094</v>
      </c>
      <c r="D580" s="44">
        <v>46094</v>
      </c>
      <c r="E580" s="43" t="s">
        <v>21</v>
      </c>
      <c r="F580" s="43" t="s">
        <v>22</v>
      </c>
      <c r="G580" s="43" t="s">
        <v>92</v>
      </c>
      <c r="H580" s="45" t="s">
        <v>1751</v>
      </c>
      <c r="I580" s="43" t="str" cm="1">
        <f t="array" ref="I580">PROPER(INDEX(_xlfn.TEXTSPLIT($H580, " "), 9))</f>
        <v>Toledo</v>
      </c>
      <c r="J580" s="43" t="str" cm="1">
        <f t="array" ref="J580">INDEX(_xlfn.TEXTSPLIT($H580, " "), COLUMNS(_xlfn.TEXTSPLIT($H580, " ")) - 2)</f>
        <v>OH</v>
      </c>
      <c r="K580" s="46">
        <v>850</v>
      </c>
      <c r="L580" s="46">
        <v>814.55</v>
      </c>
      <c r="M580" s="46">
        <v>375</v>
      </c>
      <c r="N580" s="47">
        <f t="shared" si="8"/>
        <v>1.1721333333333332</v>
      </c>
      <c r="O580" s="45" t="s">
        <v>1752</v>
      </c>
      <c r="P580" s="43" t="s">
        <v>28</v>
      </c>
      <c r="Q580" s="44"/>
      <c r="R580" s="43" t="s">
        <v>68</v>
      </c>
      <c r="S580" s="43"/>
    </row>
    <row r="581" spans="1:21" ht="24.75" customHeight="1" x14ac:dyDescent="0.3">
      <c r="A581" s="43">
        <v>344644586</v>
      </c>
      <c r="B581" s="43" t="s">
        <v>91</v>
      </c>
      <c r="C581" s="44">
        <v>46097</v>
      </c>
      <c r="D581" s="44">
        <v>46097</v>
      </c>
      <c r="E581" s="43" t="s">
        <v>21</v>
      </c>
      <c r="F581" s="43" t="s">
        <v>30</v>
      </c>
      <c r="G581" s="43" t="s">
        <v>229</v>
      </c>
      <c r="H581" s="45" t="s">
        <v>1753</v>
      </c>
      <c r="I581" s="43" t="str" cm="1">
        <f t="array" ref="I581">PROPER(INDEX(_xlfn.TEXTSPLIT($H581, " "), 9))</f>
        <v>Fairborn</v>
      </c>
      <c r="J581" s="43" t="str" cm="1">
        <f t="array" ref="J581">INDEX(_xlfn.TEXTSPLIT($H581, " "), COLUMNS(_xlfn.TEXTSPLIT($H581, " ")) - 2)</f>
        <v>OH</v>
      </c>
      <c r="K581" s="46">
        <v>750</v>
      </c>
      <c r="L581" s="46">
        <v>1415.18</v>
      </c>
      <c r="M581" s="46">
        <v>500</v>
      </c>
      <c r="N581" s="47">
        <f t="shared" si="8"/>
        <v>1.8303600000000002</v>
      </c>
      <c r="O581" s="45" t="s">
        <v>1754</v>
      </c>
      <c r="P581" s="43" t="s">
        <v>28</v>
      </c>
      <c r="Q581" s="44">
        <v>46099</v>
      </c>
      <c r="R581" s="43"/>
      <c r="S581" s="43"/>
    </row>
    <row r="582" spans="1:21" ht="24.75" customHeight="1" x14ac:dyDescent="0.3">
      <c r="A582" s="73">
        <v>345317621</v>
      </c>
      <c r="B582" s="73" t="s">
        <v>1120</v>
      </c>
      <c r="C582" s="74">
        <v>46104</v>
      </c>
      <c r="D582" s="74">
        <v>46104</v>
      </c>
      <c r="E582" s="73" t="s">
        <v>21</v>
      </c>
      <c r="F582" s="73" t="s">
        <v>22</v>
      </c>
      <c r="G582" s="73" t="s">
        <v>92</v>
      </c>
      <c r="H582" s="69" t="s">
        <v>1755</v>
      </c>
      <c r="I582" s="73" t="s">
        <v>1756</v>
      </c>
      <c r="J582" s="73" t="s">
        <v>400</v>
      </c>
      <c r="K582" s="75">
        <v>750</v>
      </c>
      <c r="L582" s="75">
        <v>639.29999999999995</v>
      </c>
      <c r="M582" s="75">
        <v>300</v>
      </c>
      <c r="N582" s="76">
        <f t="shared" si="8"/>
        <v>1.1309999999999998</v>
      </c>
      <c r="O582" s="69" t="s">
        <v>1757</v>
      </c>
      <c r="P582" s="73" t="s">
        <v>28</v>
      </c>
      <c r="Q582" s="74"/>
      <c r="R582" s="73"/>
      <c r="S582" s="73"/>
    </row>
    <row r="583" spans="1:21" ht="24.75" customHeight="1" x14ac:dyDescent="0.3">
      <c r="A583" s="43">
        <v>343425780</v>
      </c>
      <c r="B583" s="43" t="s">
        <v>163</v>
      </c>
      <c r="C583" s="44">
        <v>46084</v>
      </c>
      <c r="D583" s="44">
        <v>46084</v>
      </c>
      <c r="E583" s="43" t="s">
        <v>21</v>
      </c>
      <c r="F583" s="43" t="s">
        <v>30</v>
      </c>
      <c r="G583" s="43" t="s">
        <v>1059</v>
      </c>
      <c r="H583" s="45" t="s">
        <v>1758</v>
      </c>
      <c r="I583" s="43" t="str" cm="1">
        <f t="array" ref="I583">PROPER(INDEX(_xlfn.TEXTSPLIT($H583, " "), 9))</f>
        <v>Greenville</v>
      </c>
      <c r="J583" s="43" t="str" cm="1">
        <f t="array" ref="J583">INDEX(_xlfn.TEXTSPLIT($H583, " "), COLUMNS(_xlfn.TEXTSPLIT($H583, " ")) - 2)</f>
        <v>SC</v>
      </c>
      <c r="K583" s="46">
        <v>750</v>
      </c>
      <c r="L583" s="46">
        <v>744.23</v>
      </c>
      <c r="M583" s="46">
        <v>425</v>
      </c>
      <c r="N583" s="47">
        <f t="shared" si="8"/>
        <v>0.75112941176470593</v>
      </c>
      <c r="O583" s="45" t="s">
        <v>1759</v>
      </c>
      <c r="P583" s="43" t="s">
        <v>28</v>
      </c>
      <c r="Q583" s="44"/>
      <c r="R583" s="43"/>
      <c r="S583" s="77">
        <v>46098</v>
      </c>
      <c r="U583" s="7"/>
    </row>
    <row r="584" spans="1:21" ht="24.75" customHeight="1" x14ac:dyDescent="0.3">
      <c r="A584" s="43">
        <v>344093754</v>
      </c>
      <c r="B584" s="43" t="s">
        <v>29</v>
      </c>
      <c r="C584" s="44">
        <v>46091</v>
      </c>
      <c r="D584" s="44">
        <v>46092</v>
      </c>
      <c r="E584" s="43" t="s">
        <v>21</v>
      </c>
      <c r="F584" s="43" t="s">
        <v>45</v>
      </c>
      <c r="G584" s="43" t="s">
        <v>46</v>
      </c>
      <c r="H584" s="45" t="s">
        <v>1713</v>
      </c>
      <c r="I584" s="43" t="s">
        <v>969</v>
      </c>
      <c r="J584" s="43" t="str" cm="1">
        <f t="array" ref="J584">INDEX(_xlfn.TEXTSPLIT($H584, " "), COLUMNS(_xlfn.TEXTSPLIT($H584, " ")) - 2)</f>
        <v>NV</v>
      </c>
      <c r="K584" s="46">
        <v>750</v>
      </c>
      <c r="L584" s="46">
        <v>150</v>
      </c>
      <c r="M584" s="46">
        <v>0</v>
      </c>
      <c r="N584" s="47">
        <v>1</v>
      </c>
      <c r="O584" s="45" t="s">
        <v>1760</v>
      </c>
      <c r="P584" s="43" t="s">
        <v>51</v>
      </c>
      <c r="Q584" s="44">
        <v>46098</v>
      </c>
      <c r="R584" s="43"/>
      <c r="S584" s="43"/>
      <c r="U584" s="7"/>
    </row>
    <row r="585" spans="1:21" ht="24.75" customHeight="1" x14ac:dyDescent="0.3">
      <c r="A585" s="43">
        <v>344091655</v>
      </c>
      <c r="B585" s="43" t="s">
        <v>80</v>
      </c>
      <c r="C585" s="44">
        <v>46097</v>
      </c>
      <c r="D585" s="44">
        <v>46106</v>
      </c>
      <c r="E585" s="43" t="s">
        <v>21</v>
      </c>
      <c r="F585" s="43" t="s">
        <v>361</v>
      </c>
      <c r="G585" s="43" t="s">
        <v>367</v>
      </c>
      <c r="H585" s="45" t="s">
        <v>1761</v>
      </c>
      <c r="I585" s="43" t="str" cm="1">
        <f t="array" ref="I585">PROPER(INDEX(_xlfn.TEXTSPLIT($H585, " "), 9))</f>
        <v>Huntsville</v>
      </c>
      <c r="J585" s="43" t="str" cm="1">
        <f t="array" ref="J585">INDEX(_xlfn.TEXTSPLIT($H585, " "), COLUMNS(_xlfn.TEXTSPLIT($H585, " ")) - 2)</f>
        <v>AL</v>
      </c>
      <c r="K585" s="46">
        <v>650</v>
      </c>
      <c r="L585" s="46">
        <v>150</v>
      </c>
      <c r="M585" s="46">
        <v>0</v>
      </c>
      <c r="N585" s="47">
        <v>1</v>
      </c>
      <c r="O585" s="45" t="s">
        <v>1762</v>
      </c>
      <c r="P585" s="43" t="s">
        <v>51</v>
      </c>
      <c r="Q585" s="44">
        <v>46098</v>
      </c>
      <c r="R585" s="43"/>
      <c r="S585" s="43"/>
      <c r="U585" s="7"/>
    </row>
    <row r="586" spans="1:21" ht="24.75" customHeight="1" x14ac:dyDescent="0.3">
      <c r="A586" s="73">
        <v>345422746</v>
      </c>
      <c r="B586" s="73" t="s">
        <v>20</v>
      </c>
      <c r="C586" s="74">
        <v>46105</v>
      </c>
      <c r="D586" s="74">
        <v>46105</v>
      </c>
      <c r="E586" s="73" t="s">
        <v>21</v>
      </c>
      <c r="F586" s="73" t="s">
        <v>59</v>
      </c>
      <c r="G586" s="73" t="s">
        <v>237</v>
      </c>
      <c r="H586" s="69" t="s">
        <v>1510</v>
      </c>
      <c r="I586" s="73" t="s">
        <v>1763</v>
      </c>
      <c r="J586" s="73" t="s">
        <v>195</v>
      </c>
      <c r="K586" s="75">
        <v>0</v>
      </c>
      <c r="L586" s="75">
        <v>967.12</v>
      </c>
      <c r="M586" s="75">
        <v>500</v>
      </c>
      <c r="N586" s="76">
        <f t="shared" ref="N586:N596" si="9">($L586-$M586)/$M586</f>
        <v>0.93423999999999996</v>
      </c>
      <c r="O586" s="69" t="s">
        <v>1764</v>
      </c>
      <c r="P586" s="73" t="s">
        <v>28</v>
      </c>
      <c r="Q586" s="74"/>
      <c r="R586" s="73"/>
      <c r="S586" s="73"/>
    </row>
    <row r="587" spans="1:21" ht="24.75" customHeight="1" x14ac:dyDescent="0.3">
      <c r="A587" s="43">
        <v>344934784</v>
      </c>
      <c r="B587" s="43" t="s">
        <v>163</v>
      </c>
      <c r="C587" s="44">
        <v>46099</v>
      </c>
      <c r="D587" s="44">
        <v>46105</v>
      </c>
      <c r="E587" s="43" t="s">
        <v>21</v>
      </c>
      <c r="F587" s="43" t="s">
        <v>22</v>
      </c>
      <c r="G587" s="43" t="s">
        <v>224</v>
      </c>
      <c r="H587" s="45" t="s">
        <v>1765</v>
      </c>
      <c r="I587" s="43" t="str" cm="1">
        <f t="array" ref="I587">PROPER(INDEX(_xlfn.TEXTSPLIT($H587, " "), 9))</f>
        <v>Pacoima</v>
      </c>
      <c r="J587" s="43" t="str" cm="1">
        <f t="array" ref="J587">INDEX(_xlfn.TEXTSPLIT($H587, " "), COLUMNS(_xlfn.TEXTSPLIT($H587, " ")) - 2)</f>
        <v>CA</v>
      </c>
      <c r="K587" s="46">
        <v>1500</v>
      </c>
      <c r="L587" s="46">
        <v>499.36</v>
      </c>
      <c r="M587" s="46">
        <v>225</v>
      </c>
      <c r="N587" s="47">
        <f t="shared" si="9"/>
        <v>1.2193777777777779</v>
      </c>
      <c r="O587" s="45" t="s">
        <v>1766</v>
      </c>
      <c r="P587" s="43" t="s">
        <v>28</v>
      </c>
      <c r="Q587" s="44"/>
      <c r="R587" s="43"/>
      <c r="S587" s="43"/>
    </row>
    <row r="588" spans="1:21" ht="24.75" customHeight="1" x14ac:dyDescent="0.3">
      <c r="A588" s="43">
        <v>345412938</v>
      </c>
      <c r="B588" s="43" t="s">
        <v>163</v>
      </c>
      <c r="C588" s="44">
        <v>46105</v>
      </c>
      <c r="D588" s="44">
        <v>46105</v>
      </c>
      <c r="E588" s="43" t="s">
        <v>21</v>
      </c>
      <c r="F588" s="43" t="s">
        <v>59</v>
      </c>
      <c r="G588" s="43" t="s">
        <v>237</v>
      </c>
      <c r="H588" s="45" t="s">
        <v>1239</v>
      </c>
      <c r="I588" s="43" t="s">
        <v>1767</v>
      </c>
      <c r="J588" s="43" t="s">
        <v>26</v>
      </c>
      <c r="K588" s="46">
        <v>700</v>
      </c>
      <c r="L588" s="46">
        <v>697.27</v>
      </c>
      <c r="M588" s="46">
        <v>330</v>
      </c>
      <c r="N588" s="47">
        <f t="shared" si="9"/>
        <v>1.1129393939393939</v>
      </c>
      <c r="O588" s="45" t="s">
        <v>1768</v>
      </c>
      <c r="P588" s="43" t="s">
        <v>28</v>
      </c>
      <c r="Q588" s="44"/>
      <c r="R588" s="43"/>
      <c r="S588" s="43"/>
    </row>
    <row r="589" spans="1:21" ht="24.75" customHeight="1" x14ac:dyDescent="0.3">
      <c r="A589" s="73">
        <v>341958941</v>
      </c>
      <c r="B589" s="73" t="s">
        <v>91</v>
      </c>
      <c r="C589" s="74">
        <v>46073</v>
      </c>
      <c r="D589" s="74">
        <v>46073</v>
      </c>
      <c r="E589" s="73" t="s">
        <v>21</v>
      </c>
      <c r="F589" s="73" t="s">
        <v>30</v>
      </c>
      <c r="G589" s="73" t="s">
        <v>1059</v>
      </c>
      <c r="H589" s="69" t="s">
        <v>1769</v>
      </c>
      <c r="I589" s="73" t="str" cm="1">
        <f t="array" ref="I589">PROPER(INDEX(_xlfn.TEXTSPLIT($H589, " "), 9))</f>
        <v>Cincinnati</v>
      </c>
      <c r="J589" s="73" t="str" cm="1">
        <f t="array" ref="J589">INDEX(_xlfn.TEXTSPLIT($H589, " "), COLUMNS(_xlfn.TEXTSPLIT($H589, " ")) - 2)</f>
        <v>OH</v>
      </c>
      <c r="K589" s="75">
        <v>750</v>
      </c>
      <c r="L589" s="75">
        <v>1522.45</v>
      </c>
      <c r="M589" s="75"/>
      <c r="N589" s="76" t="e">
        <f t="shared" si="9"/>
        <v>#DIV/0!</v>
      </c>
      <c r="O589" s="69" t="s">
        <v>1770</v>
      </c>
      <c r="P589" s="73" t="s">
        <v>28</v>
      </c>
      <c r="Q589" s="74">
        <v>46076</v>
      </c>
      <c r="R589" s="73"/>
      <c r="S589" s="73"/>
      <c r="U589" s="7"/>
    </row>
    <row r="590" spans="1:21" ht="24.75" customHeight="1" x14ac:dyDescent="0.3">
      <c r="A590" s="43">
        <v>344934019</v>
      </c>
      <c r="B590" s="43" t="s">
        <v>29</v>
      </c>
      <c r="C590" s="44">
        <v>46099</v>
      </c>
      <c r="D590" s="44">
        <v>46105</v>
      </c>
      <c r="E590" s="43" t="s">
        <v>21</v>
      </c>
      <c r="F590" s="43" t="s">
        <v>22</v>
      </c>
      <c r="G590" s="43" t="s">
        <v>224</v>
      </c>
      <c r="H590" s="45" t="s">
        <v>1771</v>
      </c>
      <c r="I590" s="43" t="str" cm="1">
        <f t="array" ref="I590">PROPER(INDEX(_xlfn.TEXTSPLIT($H590, " "), 9))</f>
        <v>San</v>
      </c>
      <c r="J590" s="43" t="str" cm="1">
        <f t="array" ref="J590">INDEX(_xlfn.TEXTSPLIT($H590, " "), COLUMNS(_xlfn.TEXTSPLIT($H590, " ")) - 2)</f>
        <v>CA</v>
      </c>
      <c r="K590" s="46">
        <v>1500</v>
      </c>
      <c r="L590" s="46">
        <v>1217.58</v>
      </c>
      <c r="M590" s="46">
        <v>600</v>
      </c>
      <c r="N590" s="47">
        <f t="shared" si="9"/>
        <v>1.0292999999999999</v>
      </c>
      <c r="O590" s="45" t="s">
        <v>228</v>
      </c>
      <c r="P590" s="43" t="s">
        <v>28</v>
      </c>
      <c r="Q590" s="44"/>
      <c r="R590" s="43"/>
      <c r="S590" s="43"/>
    </row>
    <row r="591" spans="1:21" ht="25.5" customHeight="1" x14ac:dyDescent="0.3">
      <c r="A591" s="43">
        <v>345264827</v>
      </c>
      <c r="B591" s="43" t="s">
        <v>1120</v>
      </c>
      <c r="C591" s="44">
        <v>46105</v>
      </c>
      <c r="D591" s="44">
        <v>46105</v>
      </c>
      <c r="E591" s="43" t="s">
        <v>21</v>
      </c>
      <c r="F591" s="43" t="s">
        <v>59</v>
      </c>
      <c r="G591" s="43" t="s">
        <v>237</v>
      </c>
      <c r="H591" s="45" t="s">
        <v>990</v>
      </c>
      <c r="I591" s="43" t="s">
        <v>1772</v>
      </c>
      <c r="J591" s="43" t="s">
        <v>26</v>
      </c>
      <c r="K591" s="46">
        <v>800</v>
      </c>
      <c r="L591" s="46">
        <v>997.5</v>
      </c>
      <c r="M591" s="46"/>
      <c r="N591" s="47" t="e">
        <f t="shared" si="9"/>
        <v>#DIV/0!</v>
      </c>
      <c r="O591" s="45" t="s">
        <v>1773</v>
      </c>
      <c r="P591" s="43" t="s">
        <v>28</v>
      </c>
      <c r="Q591" s="44"/>
      <c r="R591" s="43"/>
      <c r="S591" s="43"/>
    </row>
    <row r="592" spans="1:21" ht="25.5" customHeight="1" x14ac:dyDescent="0.3">
      <c r="A592" s="73">
        <v>345417498</v>
      </c>
      <c r="B592" s="73" t="s">
        <v>80</v>
      </c>
      <c r="C592" s="74">
        <v>46105</v>
      </c>
      <c r="D592" s="74">
        <v>46105</v>
      </c>
      <c r="E592" s="73" t="s">
        <v>21</v>
      </c>
      <c r="F592" s="73" t="s">
        <v>45</v>
      </c>
      <c r="G592" s="73" t="s">
        <v>46</v>
      </c>
      <c r="H592" s="69" t="s">
        <v>1774</v>
      </c>
      <c r="I592" s="73" t="s">
        <v>1775</v>
      </c>
      <c r="J592" s="73" t="s">
        <v>339</v>
      </c>
      <c r="K592" s="75">
        <v>750</v>
      </c>
      <c r="L592" s="75">
        <v>725.31</v>
      </c>
      <c r="M592" s="75">
        <v>385</v>
      </c>
      <c r="N592" s="76">
        <f t="shared" si="9"/>
        <v>0.88392207792207778</v>
      </c>
      <c r="O592" s="69" t="s">
        <v>1776</v>
      </c>
      <c r="P592" s="73" t="s">
        <v>28</v>
      </c>
      <c r="Q592" s="74"/>
      <c r="R592" s="73"/>
      <c r="S592" s="73"/>
    </row>
    <row r="593" spans="1:21" ht="25.5" customHeight="1" x14ac:dyDescent="0.3">
      <c r="A593" s="73">
        <v>338461058</v>
      </c>
      <c r="B593" s="73" t="s">
        <v>91</v>
      </c>
      <c r="C593" s="74">
        <v>46041</v>
      </c>
      <c r="D593" s="74">
        <v>46043</v>
      </c>
      <c r="E593" s="73" t="s">
        <v>21</v>
      </c>
      <c r="F593" s="73" t="s">
        <v>22</v>
      </c>
      <c r="G593" s="73" t="s">
        <v>336</v>
      </c>
      <c r="H593" s="69" t="s">
        <v>1777</v>
      </c>
      <c r="I593" s="73" t="str" cm="1">
        <f t="array" ref="I593">PROPER(INDEX(_xlfn.TEXTSPLIT($H593, " "), 9))</f>
        <v>Prattville</v>
      </c>
      <c r="J593" s="73" t="str" cm="1">
        <f t="array" ref="J593">INDEX(_xlfn.TEXTSPLIT($H593, " "), COLUMNS(_xlfn.TEXTSPLIT($H593, " ")) - 2)</f>
        <v>AL</v>
      </c>
      <c r="K593" s="75">
        <v>500</v>
      </c>
      <c r="L593" s="75">
        <v>2681.09</v>
      </c>
      <c r="M593" s="75">
        <v>1650</v>
      </c>
      <c r="N593" s="76">
        <f t="shared" si="9"/>
        <v>0.6249030303030304</v>
      </c>
      <c r="O593" s="69" t="s">
        <v>1778</v>
      </c>
      <c r="P593" s="73" t="s">
        <v>28</v>
      </c>
      <c r="Q593" s="74">
        <v>46092</v>
      </c>
      <c r="R593" s="73"/>
      <c r="S593" s="73"/>
      <c r="U593" s="7"/>
    </row>
    <row r="594" spans="1:21" ht="25.5" customHeight="1" x14ac:dyDescent="0.3">
      <c r="A594" s="7">
        <v>345579264</v>
      </c>
      <c r="B594" s="7" t="s">
        <v>44</v>
      </c>
      <c r="C594" s="8">
        <v>46106</v>
      </c>
      <c r="D594" s="8">
        <v>46106</v>
      </c>
      <c r="E594" s="7" t="s">
        <v>21</v>
      </c>
      <c r="F594" s="7" t="s">
        <v>59</v>
      </c>
      <c r="G594" s="7" t="s">
        <v>237</v>
      </c>
      <c r="H594" s="9" t="s">
        <v>1152</v>
      </c>
      <c r="I594" s="7" t="s">
        <v>1779</v>
      </c>
      <c r="J594" s="7" t="s">
        <v>34</v>
      </c>
      <c r="K594" s="10">
        <v>1000</v>
      </c>
      <c r="L594" s="10">
        <v>745.5</v>
      </c>
      <c r="M594" s="10">
        <v>400</v>
      </c>
      <c r="N594" s="11">
        <f t="shared" si="9"/>
        <v>0.86375000000000002</v>
      </c>
      <c r="O594" s="9" t="s">
        <v>1780</v>
      </c>
      <c r="P594" s="7" t="s">
        <v>28</v>
      </c>
      <c r="Q594" s="7"/>
      <c r="R594" s="7" t="s">
        <v>68</v>
      </c>
      <c r="S594" s="7"/>
      <c r="U594" s="7"/>
    </row>
    <row r="595" spans="1:21" ht="25.5" customHeight="1" x14ac:dyDescent="0.3">
      <c r="A595" s="73">
        <v>345314729</v>
      </c>
      <c r="B595" s="73" t="s">
        <v>20</v>
      </c>
      <c r="C595" s="74">
        <v>46104</v>
      </c>
      <c r="D595" s="74">
        <v>46104</v>
      </c>
      <c r="E595" s="73" t="s">
        <v>21</v>
      </c>
      <c r="F595" s="73" t="s">
        <v>30</v>
      </c>
      <c r="G595" s="73" t="s">
        <v>229</v>
      </c>
      <c r="H595" s="69" t="s">
        <v>1114</v>
      </c>
      <c r="I595" s="73" t="s">
        <v>1583</v>
      </c>
      <c r="J595" s="73" t="s">
        <v>311</v>
      </c>
      <c r="K595" s="75">
        <v>750</v>
      </c>
      <c r="L595" s="75">
        <v>1313</v>
      </c>
      <c r="M595" s="75">
        <v>720</v>
      </c>
      <c r="N595" s="76">
        <f t="shared" si="9"/>
        <v>0.82361111111111107</v>
      </c>
      <c r="O595" s="69" t="s">
        <v>1781</v>
      </c>
      <c r="P595" s="73" t="s">
        <v>28</v>
      </c>
      <c r="Q595" s="74"/>
      <c r="R595" s="73"/>
      <c r="S595" s="73"/>
    </row>
    <row r="596" spans="1:21" ht="25.5" customHeight="1" x14ac:dyDescent="0.3">
      <c r="A596" s="7">
        <v>345563645</v>
      </c>
      <c r="B596" s="7" t="s">
        <v>91</v>
      </c>
      <c r="C596" s="8">
        <v>46106</v>
      </c>
      <c r="D596" s="8">
        <v>46106</v>
      </c>
      <c r="E596" s="7" t="s">
        <v>21</v>
      </c>
      <c r="F596" s="7" t="s">
        <v>59</v>
      </c>
      <c r="G596" s="7" t="s">
        <v>60</v>
      </c>
      <c r="H596" s="9" t="s">
        <v>1782</v>
      </c>
      <c r="I596" s="7" t="s">
        <v>1783</v>
      </c>
      <c r="J596" s="7" t="s">
        <v>400</v>
      </c>
      <c r="K596" s="10">
        <v>700</v>
      </c>
      <c r="L596" s="10">
        <v>899.9</v>
      </c>
      <c r="M596" s="10">
        <v>500</v>
      </c>
      <c r="N596" s="11">
        <f t="shared" si="9"/>
        <v>0.79979999999999996</v>
      </c>
      <c r="O596" s="9" t="s">
        <v>1784</v>
      </c>
      <c r="P596" s="7" t="s">
        <v>28</v>
      </c>
      <c r="Q596" s="7"/>
      <c r="R596" s="7"/>
      <c r="S596" s="7"/>
      <c r="U596" s="7"/>
    </row>
    <row r="597" spans="1:21" ht="25.5" customHeight="1" x14ac:dyDescent="0.3">
      <c r="A597" s="43">
        <v>343854286</v>
      </c>
      <c r="B597" s="43" t="s">
        <v>29</v>
      </c>
      <c r="C597" s="44">
        <v>46091</v>
      </c>
      <c r="D597" s="44">
        <v>46100</v>
      </c>
      <c r="E597" s="43" t="s">
        <v>21</v>
      </c>
      <c r="F597" s="43" t="s">
        <v>361</v>
      </c>
      <c r="G597" s="43" t="s">
        <v>1660</v>
      </c>
      <c r="H597" s="45" t="s">
        <v>1785</v>
      </c>
      <c r="I597" s="58" t="s">
        <v>969</v>
      </c>
      <c r="J597" s="43" t="str" cm="1">
        <f t="array" ref="J597">INDEX(_xlfn.TEXTSPLIT($H597, " "), COLUMNS(_xlfn.TEXTSPLIT($H597, " ")) - 2)</f>
        <v>NV</v>
      </c>
      <c r="K597" s="46">
        <v>500</v>
      </c>
      <c r="L597" s="46">
        <v>150</v>
      </c>
      <c r="M597" s="46">
        <v>0</v>
      </c>
      <c r="N597" s="47">
        <v>1</v>
      </c>
      <c r="O597" s="45" t="s">
        <v>1786</v>
      </c>
      <c r="P597" s="43" t="s">
        <v>51</v>
      </c>
      <c r="Q597" s="44">
        <v>46097</v>
      </c>
      <c r="R597" s="43"/>
      <c r="S597" s="43"/>
      <c r="U597" s="7"/>
    </row>
    <row r="598" spans="1:21" ht="25.5" customHeight="1" x14ac:dyDescent="0.3">
      <c r="A598" s="7">
        <v>345583347</v>
      </c>
      <c r="B598" s="7" t="s">
        <v>20</v>
      </c>
      <c r="C598" s="8">
        <v>46106</v>
      </c>
      <c r="D598" s="8">
        <v>46106</v>
      </c>
      <c r="E598" s="7" t="s">
        <v>21</v>
      </c>
      <c r="F598" s="7" t="s">
        <v>59</v>
      </c>
      <c r="G598" s="7" t="s">
        <v>725</v>
      </c>
      <c r="H598" s="9" t="s">
        <v>1272</v>
      </c>
      <c r="I598" s="7" t="s">
        <v>1787</v>
      </c>
      <c r="J598" s="7" t="s">
        <v>216</v>
      </c>
      <c r="K598" s="10">
        <v>0</v>
      </c>
      <c r="L598" s="10">
        <v>568.79</v>
      </c>
      <c r="M598" s="7">
        <v>325</v>
      </c>
      <c r="N598" s="11">
        <f>($L598-$M598)/$M598</f>
        <v>0.75012307692307678</v>
      </c>
      <c r="O598" s="9" t="s">
        <v>1788</v>
      </c>
      <c r="P598" s="7" t="s">
        <v>28</v>
      </c>
      <c r="Q598" s="7"/>
      <c r="R598" s="7"/>
      <c r="S598" s="7"/>
      <c r="U598" s="7"/>
    </row>
    <row r="599" spans="1:21" ht="25.5" customHeight="1" x14ac:dyDescent="0.3">
      <c r="A599" s="7">
        <v>345601873</v>
      </c>
      <c r="B599" s="7" t="s">
        <v>91</v>
      </c>
      <c r="C599" s="8">
        <v>46106</v>
      </c>
      <c r="D599" s="8">
        <v>46107</v>
      </c>
      <c r="E599" s="7" t="s">
        <v>21</v>
      </c>
      <c r="F599" s="7" t="s">
        <v>59</v>
      </c>
      <c r="G599" s="7" t="s">
        <v>1036</v>
      </c>
      <c r="H599" s="9" t="s">
        <v>1789</v>
      </c>
      <c r="I599" s="7" t="s">
        <v>1790</v>
      </c>
      <c r="J599" s="7" t="s">
        <v>63</v>
      </c>
      <c r="K599" s="10">
        <v>250</v>
      </c>
      <c r="L599" s="10">
        <v>493.88</v>
      </c>
      <c r="M599" s="7">
        <v>150</v>
      </c>
      <c r="N599" s="11">
        <f>($L599-$M599)/$M599</f>
        <v>2.2925333333333331</v>
      </c>
      <c r="O599" s="9" t="s">
        <v>1791</v>
      </c>
      <c r="P599" s="7" t="s">
        <v>28</v>
      </c>
      <c r="Q599" s="7"/>
      <c r="R599" s="7"/>
      <c r="S599" s="7"/>
      <c r="U599" s="7"/>
    </row>
    <row r="600" spans="1:21" ht="25.5" customHeight="1" x14ac:dyDescent="0.3">
      <c r="A600" s="73">
        <v>341285155</v>
      </c>
      <c r="B600" s="73" t="s">
        <v>91</v>
      </c>
      <c r="C600" s="74">
        <v>46066</v>
      </c>
      <c r="D600" s="74">
        <v>46067</v>
      </c>
      <c r="E600" s="73" t="s">
        <v>21</v>
      </c>
      <c r="F600" s="73" t="s">
        <v>22</v>
      </c>
      <c r="G600" s="73" t="s">
        <v>1088</v>
      </c>
      <c r="H600" s="69" t="s">
        <v>1792</v>
      </c>
      <c r="I600" s="73" t="str" cm="1">
        <f t="array" ref="I600">PROPER(INDEX(_xlfn.TEXTSPLIT($H600, " "), 9))</f>
        <v>Bellingham</v>
      </c>
      <c r="J600" s="73" t="str" cm="1">
        <f t="array" ref="J600">INDEX(_xlfn.TEXTSPLIT($H600, " "), COLUMNS(_xlfn.TEXTSPLIT($H600, " ")) - 2)</f>
        <v>WA</v>
      </c>
      <c r="K600" s="75">
        <v>750</v>
      </c>
      <c r="L600" s="75">
        <v>3941.78</v>
      </c>
      <c r="M600" s="75">
        <v>2450</v>
      </c>
      <c r="N600" s="76">
        <f>($L600-$M600)/$M600</f>
        <v>0.60888979591836745</v>
      </c>
      <c r="O600" s="69" t="s">
        <v>1793</v>
      </c>
      <c r="P600" s="73" t="s">
        <v>28</v>
      </c>
      <c r="Q600" s="74">
        <v>46077</v>
      </c>
      <c r="R600" s="73"/>
      <c r="S600" s="73"/>
      <c r="U600" s="7"/>
    </row>
    <row r="601" spans="1:21" ht="25.5" customHeight="1" x14ac:dyDescent="0.3">
      <c r="A601" s="7">
        <v>15390</v>
      </c>
      <c r="B601" s="7" t="s">
        <v>1217</v>
      </c>
      <c r="C601" s="8">
        <v>46077</v>
      </c>
      <c r="D601" s="8">
        <v>46077</v>
      </c>
      <c r="E601" s="7" t="s">
        <v>809</v>
      </c>
      <c r="F601" s="7" t="s">
        <v>59</v>
      </c>
      <c r="G601" s="7" t="s">
        <v>60</v>
      </c>
      <c r="H601" s="9" t="s">
        <v>841</v>
      </c>
      <c r="I601" s="7" t="s">
        <v>1575</v>
      </c>
      <c r="J601" s="7" t="s">
        <v>311</v>
      </c>
      <c r="K601" s="10">
        <v>1900</v>
      </c>
      <c r="L601" s="10">
        <v>150</v>
      </c>
      <c r="M601" s="10">
        <v>0</v>
      </c>
      <c r="N601" s="76">
        <v>1</v>
      </c>
      <c r="O601" s="7" t="s">
        <v>1794</v>
      </c>
      <c r="P601" s="7" t="s">
        <v>51</v>
      </c>
      <c r="Q601" s="8"/>
      <c r="R601" s="7"/>
      <c r="S601" s="7"/>
      <c r="T601" s="8">
        <v>46107</v>
      </c>
      <c r="U601" s="7"/>
    </row>
    <row r="602" spans="1:21" ht="25.5" customHeight="1" x14ac:dyDescent="0.3">
      <c r="A602" s="7">
        <v>15493</v>
      </c>
      <c r="B602" s="7" t="s">
        <v>91</v>
      </c>
      <c r="C602" s="8">
        <v>46083</v>
      </c>
      <c r="D602" s="8">
        <v>46084</v>
      </c>
      <c r="E602" s="7" t="s">
        <v>809</v>
      </c>
      <c r="F602" s="7" t="s">
        <v>59</v>
      </c>
      <c r="G602" s="7" t="s">
        <v>237</v>
      </c>
      <c r="H602" s="9" t="s">
        <v>1795</v>
      </c>
      <c r="I602" s="7" t="s">
        <v>1381</v>
      </c>
      <c r="J602" s="7" t="s">
        <v>26</v>
      </c>
      <c r="K602" s="10">
        <v>1900</v>
      </c>
      <c r="L602" s="10">
        <v>150</v>
      </c>
      <c r="M602" s="10">
        <v>125</v>
      </c>
      <c r="N602" s="76">
        <v>1</v>
      </c>
      <c r="O602" s="7" t="s">
        <v>1796</v>
      </c>
      <c r="P602" s="7" t="s">
        <v>51</v>
      </c>
      <c r="Q602" s="8"/>
      <c r="R602" s="7"/>
      <c r="S602" s="7"/>
      <c r="T602" s="8">
        <v>46108</v>
      </c>
      <c r="U602" s="7"/>
    </row>
    <row r="603" spans="1:21" ht="25.5" customHeight="1" x14ac:dyDescent="0.3">
      <c r="A603" s="7">
        <v>15523</v>
      </c>
      <c r="B603" s="7" t="s">
        <v>91</v>
      </c>
      <c r="C603" s="8">
        <v>46085</v>
      </c>
      <c r="D603" s="8">
        <v>46086</v>
      </c>
      <c r="E603" s="7" t="s">
        <v>809</v>
      </c>
      <c r="F603" s="7" t="s">
        <v>45</v>
      </c>
      <c r="G603" s="7" t="s">
        <v>46</v>
      </c>
      <c r="H603" s="9" t="s">
        <v>845</v>
      </c>
      <c r="I603" s="7" t="s">
        <v>1378</v>
      </c>
      <c r="J603" s="7" t="s">
        <v>26</v>
      </c>
      <c r="K603" s="10">
        <v>1900</v>
      </c>
      <c r="L603" s="10">
        <v>470</v>
      </c>
      <c r="M603" s="10">
        <v>250</v>
      </c>
      <c r="N603" s="76">
        <f t="shared" ref="N603:N616" si="10">($L603-$M603)/$M603</f>
        <v>0.88</v>
      </c>
      <c r="O603" s="9" t="s">
        <v>1797</v>
      </c>
      <c r="P603" s="7" t="s">
        <v>28</v>
      </c>
      <c r="Q603" s="8"/>
      <c r="R603" s="7"/>
      <c r="S603" s="7"/>
      <c r="T603" s="8">
        <v>46106</v>
      </c>
      <c r="U603" s="7"/>
    </row>
    <row r="604" spans="1:21" ht="25.5" customHeight="1" x14ac:dyDescent="0.3">
      <c r="A604" s="15">
        <v>15341</v>
      </c>
      <c r="B604" s="7" t="s">
        <v>91</v>
      </c>
      <c r="C604" s="8">
        <v>46072</v>
      </c>
      <c r="D604" s="8">
        <v>46073</v>
      </c>
      <c r="E604" s="7" t="s">
        <v>809</v>
      </c>
      <c r="F604" s="7" t="s">
        <v>59</v>
      </c>
      <c r="G604" s="7" t="s">
        <v>535</v>
      </c>
      <c r="H604" s="9" t="s">
        <v>1798</v>
      </c>
      <c r="I604" s="7" t="s">
        <v>1378</v>
      </c>
      <c r="J604" s="7" t="s">
        <v>26</v>
      </c>
      <c r="K604" s="10">
        <v>1900</v>
      </c>
      <c r="L604" s="10">
        <v>1166.48</v>
      </c>
      <c r="M604" s="10">
        <v>550</v>
      </c>
      <c r="N604" s="76">
        <f t="shared" si="10"/>
        <v>1.1208727272727272</v>
      </c>
      <c r="O604" s="9" t="s">
        <v>1799</v>
      </c>
      <c r="P604" s="7" t="s">
        <v>28</v>
      </c>
      <c r="Q604" s="8"/>
      <c r="R604" s="7"/>
      <c r="S604" s="7"/>
      <c r="T604" s="8">
        <v>46106</v>
      </c>
      <c r="U604" s="7"/>
    </row>
    <row r="605" spans="1:21" ht="25.5" customHeight="1" x14ac:dyDescent="0.3">
      <c r="A605" s="7">
        <v>15644</v>
      </c>
      <c r="B605" s="7" t="s">
        <v>1120</v>
      </c>
      <c r="C605" s="8">
        <v>46092</v>
      </c>
      <c r="D605" s="8">
        <v>46092</v>
      </c>
      <c r="E605" s="7" t="s">
        <v>809</v>
      </c>
      <c r="F605" s="7" t="s">
        <v>59</v>
      </c>
      <c r="G605" s="7" t="s">
        <v>1800</v>
      </c>
      <c r="H605" s="9" t="s">
        <v>1801</v>
      </c>
      <c r="I605" s="7" t="s">
        <v>1594</v>
      </c>
      <c r="J605" s="7" t="s">
        <v>814</v>
      </c>
      <c r="K605" s="10">
        <v>1900</v>
      </c>
      <c r="L605" s="10">
        <v>1030.5</v>
      </c>
      <c r="M605" s="10">
        <v>575</v>
      </c>
      <c r="N605" s="76">
        <f t="shared" si="10"/>
        <v>0.79217391304347828</v>
      </c>
      <c r="O605" s="9" t="s">
        <v>1802</v>
      </c>
      <c r="P605" s="7" t="s">
        <v>28</v>
      </c>
      <c r="Q605" s="8"/>
      <c r="R605" s="7"/>
      <c r="S605" s="7"/>
      <c r="T605" s="8">
        <v>46107</v>
      </c>
      <c r="U605" s="7"/>
    </row>
    <row r="606" spans="1:21" ht="25.5" customHeight="1" x14ac:dyDescent="0.3">
      <c r="A606" s="15">
        <v>329252127</v>
      </c>
      <c r="B606" s="7" t="s">
        <v>91</v>
      </c>
      <c r="C606" s="8">
        <v>45951</v>
      </c>
      <c r="D606" s="82">
        <v>45953</v>
      </c>
      <c r="E606" s="9" t="s">
        <v>355</v>
      </c>
      <c r="F606" s="7" t="s">
        <v>38</v>
      </c>
      <c r="G606" s="7" t="s">
        <v>1803</v>
      </c>
      <c r="H606" s="9" t="s">
        <v>1804</v>
      </c>
      <c r="I606" s="7" t="s">
        <v>1424</v>
      </c>
      <c r="J606" s="7" t="s">
        <v>199</v>
      </c>
      <c r="K606" s="10">
        <v>300</v>
      </c>
      <c r="L606" s="10">
        <v>150</v>
      </c>
      <c r="M606" s="10">
        <v>0</v>
      </c>
      <c r="N606" s="76">
        <v>1</v>
      </c>
      <c r="O606" s="7" t="s">
        <v>1805</v>
      </c>
      <c r="P606" s="7" t="s">
        <v>51</v>
      </c>
      <c r="Q606" s="8">
        <v>46038</v>
      </c>
      <c r="R606" s="7"/>
      <c r="S606" s="7"/>
      <c r="T606" s="8">
        <v>46108</v>
      </c>
    </row>
    <row r="607" spans="1:21" ht="25.5" customHeight="1" x14ac:dyDescent="0.3">
      <c r="A607" s="7">
        <v>131457</v>
      </c>
      <c r="B607" s="7" t="s">
        <v>163</v>
      </c>
      <c r="C607" s="8">
        <v>46098</v>
      </c>
      <c r="D607" s="8">
        <v>46105</v>
      </c>
      <c r="E607" s="7" t="s">
        <v>739</v>
      </c>
      <c r="F607" s="7" t="s">
        <v>1618</v>
      </c>
      <c r="G607" s="7" t="s">
        <v>851</v>
      </c>
      <c r="H607" s="9" t="s">
        <v>1806</v>
      </c>
      <c r="I607" s="7" t="s">
        <v>1807</v>
      </c>
      <c r="J607" s="7" t="s">
        <v>195</v>
      </c>
      <c r="K607" s="10">
        <v>265</v>
      </c>
      <c r="L607" s="10">
        <v>265</v>
      </c>
      <c r="M607" s="10">
        <v>125</v>
      </c>
      <c r="N607" s="76">
        <f t="shared" si="10"/>
        <v>1.1200000000000001</v>
      </c>
      <c r="O607" s="7" t="s">
        <v>1808</v>
      </c>
      <c r="P607" s="7" t="s">
        <v>28</v>
      </c>
      <c r="Q607" s="8"/>
      <c r="R607" s="7"/>
      <c r="S607" s="7"/>
      <c r="T607" s="8">
        <v>46101</v>
      </c>
      <c r="U607" s="7"/>
    </row>
    <row r="608" spans="1:21" ht="25.5" customHeight="1" x14ac:dyDescent="0.3">
      <c r="A608" s="7">
        <v>130679</v>
      </c>
      <c r="B608" s="7" t="s">
        <v>80</v>
      </c>
      <c r="C608" s="8">
        <v>46098</v>
      </c>
      <c r="D608" s="8">
        <v>46105</v>
      </c>
      <c r="E608" s="7" t="s">
        <v>739</v>
      </c>
      <c r="F608" s="7" t="s">
        <v>1618</v>
      </c>
      <c r="G608" s="7" t="s">
        <v>851</v>
      </c>
      <c r="H608" s="9" t="s">
        <v>1809</v>
      </c>
      <c r="I608" s="7" t="s">
        <v>1810</v>
      </c>
      <c r="J608" s="7" t="s">
        <v>339</v>
      </c>
      <c r="K608" s="10">
        <v>265</v>
      </c>
      <c r="L608" s="10">
        <v>265</v>
      </c>
      <c r="M608" s="10">
        <v>125</v>
      </c>
      <c r="N608" s="76">
        <f t="shared" si="10"/>
        <v>1.1200000000000001</v>
      </c>
      <c r="O608" s="7" t="s">
        <v>1808</v>
      </c>
      <c r="P608" s="7" t="s">
        <v>28</v>
      </c>
      <c r="Q608" s="8"/>
      <c r="R608" s="7"/>
      <c r="S608" s="7"/>
      <c r="T608" s="8">
        <v>46107</v>
      </c>
      <c r="U608" s="7"/>
    </row>
    <row r="609" spans="1:21" ht="25.5" customHeight="1" x14ac:dyDescent="0.3">
      <c r="A609" s="7">
        <v>130616</v>
      </c>
      <c r="B609" s="7" t="s">
        <v>1217</v>
      </c>
      <c r="C609" s="8">
        <v>46098</v>
      </c>
      <c r="D609" s="8">
        <v>46105</v>
      </c>
      <c r="E609" s="7" t="s">
        <v>739</v>
      </c>
      <c r="F609" s="7" t="s">
        <v>1618</v>
      </c>
      <c r="G609" s="7" t="s">
        <v>851</v>
      </c>
      <c r="H609" s="9" t="s">
        <v>1811</v>
      </c>
      <c r="I609" s="7" t="s">
        <v>1812</v>
      </c>
      <c r="J609" s="7" t="s">
        <v>26</v>
      </c>
      <c r="K609" s="10">
        <v>265</v>
      </c>
      <c r="L609" s="10">
        <v>265</v>
      </c>
      <c r="M609" s="10">
        <v>140</v>
      </c>
      <c r="N609" s="76">
        <f t="shared" si="10"/>
        <v>0.8928571428571429</v>
      </c>
      <c r="O609" s="7" t="s">
        <v>1808</v>
      </c>
      <c r="P609" s="7" t="s">
        <v>28</v>
      </c>
      <c r="Q609" s="8"/>
      <c r="R609" s="7"/>
      <c r="S609" s="7"/>
      <c r="T609" s="8">
        <v>46107</v>
      </c>
      <c r="U609" s="7"/>
    </row>
    <row r="610" spans="1:21" ht="25.5" customHeight="1" x14ac:dyDescent="0.3">
      <c r="A610" s="7">
        <v>130685</v>
      </c>
      <c r="B610" s="7" t="s">
        <v>1217</v>
      </c>
      <c r="C610" s="8">
        <v>46098</v>
      </c>
      <c r="D610" s="8">
        <v>46105</v>
      </c>
      <c r="E610" s="7" t="s">
        <v>739</v>
      </c>
      <c r="F610" s="7" t="s">
        <v>1618</v>
      </c>
      <c r="G610" s="7" t="s">
        <v>851</v>
      </c>
      <c r="H610" s="9" t="s">
        <v>1813</v>
      </c>
      <c r="I610" s="7" t="s">
        <v>1814</v>
      </c>
      <c r="J610" s="7" t="s">
        <v>26</v>
      </c>
      <c r="K610" s="10">
        <v>265</v>
      </c>
      <c r="L610" s="10">
        <v>265</v>
      </c>
      <c r="M610" s="10">
        <v>140</v>
      </c>
      <c r="N610" s="76">
        <f t="shared" si="10"/>
        <v>0.8928571428571429</v>
      </c>
      <c r="O610" s="7" t="s">
        <v>1808</v>
      </c>
      <c r="P610" s="7" t="s">
        <v>28</v>
      </c>
      <c r="Q610" s="8"/>
      <c r="R610" s="7"/>
      <c r="S610" s="7"/>
      <c r="T610" s="8">
        <v>46107</v>
      </c>
      <c r="U610" s="7"/>
    </row>
    <row r="611" spans="1:21" ht="25.5" customHeight="1" x14ac:dyDescent="0.3">
      <c r="A611" s="7">
        <v>130512</v>
      </c>
      <c r="B611" s="7" t="s">
        <v>29</v>
      </c>
      <c r="C611" s="8">
        <v>46098</v>
      </c>
      <c r="D611" s="8">
        <v>46105</v>
      </c>
      <c r="E611" s="7" t="s">
        <v>739</v>
      </c>
      <c r="F611" s="7" t="s">
        <v>1618</v>
      </c>
      <c r="G611" s="7" t="s">
        <v>851</v>
      </c>
      <c r="H611" s="9" t="s">
        <v>1815</v>
      </c>
      <c r="I611" s="7" t="s">
        <v>1816</v>
      </c>
      <c r="J611" s="7" t="s">
        <v>339</v>
      </c>
      <c r="K611" s="10">
        <v>265</v>
      </c>
      <c r="L611" s="10">
        <v>265</v>
      </c>
      <c r="M611" s="10">
        <v>135</v>
      </c>
      <c r="N611" s="76">
        <f t="shared" si="10"/>
        <v>0.96296296296296291</v>
      </c>
      <c r="O611" s="7" t="s">
        <v>1808</v>
      </c>
      <c r="P611" s="7" t="s">
        <v>28</v>
      </c>
      <c r="Q611" s="8"/>
      <c r="R611" s="7"/>
      <c r="S611" s="7"/>
      <c r="T611" s="8">
        <v>46107</v>
      </c>
      <c r="U611" s="7"/>
    </row>
    <row r="612" spans="1:21" ht="25.5" customHeight="1" x14ac:dyDescent="0.3">
      <c r="A612" s="7">
        <v>15754</v>
      </c>
      <c r="B612" s="7" t="s">
        <v>163</v>
      </c>
      <c r="C612" s="8">
        <v>46100</v>
      </c>
      <c r="D612" s="8">
        <v>46101</v>
      </c>
      <c r="E612" s="7" t="s">
        <v>809</v>
      </c>
      <c r="F612" s="7" t="s">
        <v>59</v>
      </c>
      <c r="G612" s="7" t="s">
        <v>583</v>
      </c>
      <c r="H612" s="9" t="s">
        <v>1616</v>
      </c>
      <c r="I612" s="7" t="s">
        <v>1575</v>
      </c>
      <c r="J612" s="7" t="s">
        <v>311</v>
      </c>
      <c r="K612" s="10">
        <v>1900</v>
      </c>
      <c r="L612" s="10">
        <v>407.5</v>
      </c>
      <c r="M612" s="10">
        <v>219.27</v>
      </c>
      <c r="N612" s="76">
        <f t="shared" si="10"/>
        <v>0.8584393669904683</v>
      </c>
      <c r="O612" s="9" t="s">
        <v>1817</v>
      </c>
      <c r="P612" s="7" t="s">
        <v>28</v>
      </c>
      <c r="Q612" s="8"/>
      <c r="R612" s="7"/>
      <c r="S612" s="7"/>
      <c r="T612" s="8">
        <v>46107</v>
      </c>
      <c r="U612" s="7"/>
    </row>
    <row r="613" spans="1:21" ht="25.5" customHeight="1" x14ac:dyDescent="0.3">
      <c r="A613" s="7">
        <v>130503</v>
      </c>
      <c r="B613" s="7" t="s">
        <v>1120</v>
      </c>
      <c r="C613" s="8">
        <v>46098</v>
      </c>
      <c r="D613" s="8">
        <v>46105</v>
      </c>
      <c r="E613" s="7" t="s">
        <v>739</v>
      </c>
      <c r="F613" s="7" t="s">
        <v>1618</v>
      </c>
      <c r="G613" s="7" t="s">
        <v>851</v>
      </c>
      <c r="H613" s="9" t="s">
        <v>1818</v>
      </c>
      <c r="I613" s="7" t="s">
        <v>1819</v>
      </c>
      <c r="J613" s="7" t="s">
        <v>339</v>
      </c>
      <c r="K613" s="10">
        <v>265</v>
      </c>
      <c r="L613" s="10">
        <v>265</v>
      </c>
      <c r="M613" s="10">
        <v>150</v>
      </c>
      <c r="N613" s="76">
        <f t="shared" si="10"/>
        <v>0.76666666666666672</v>
      </c>
      <c r="O613" s="7" t="s">
        <v>1808</v>
      </c>
      <c r="P613" s="7" t="s">
        <v>28</v>
      </c>
      <c r="Q613" s="8"/>
      <c r="R613" s="7"/>
      <c r="S613" s="7"/>
      <c r="T613" s="8">
        <v>46107</v>
      </c>
      <c r="U613" s="7"/>
    </row>
    <row r="614" spans="1:21" ht="25.5" customHeight="1" x14ac:dyDescent="0.3">
      <c r="A614" s="7">
        <v>130516</v>
      </c>
      <c r="B614" s="7" t="s">
        <v>1120</v>
      </c>
      <c r="C614" s="8">
        <v>46098</v>
      </c>
      <c r="D614" s="8">
        <v>46105</v>
      </c>
      <c r="E614" s="7" t="s">
        <v>739</v>
      </c>
      <c r="F614" s="7" t="s">
        <v>1618</v>
      </c>
      <c r="G614" s="7" t="s">
        <v>851</v>
      </c>
      <c r="H614" s="9" t="s">
        <v>1820</v>
      </c>
      <c r="I614" s="7" t="s">
        <v>1821</v>
      </c>
      <c r="J614" s="7" t="s">
        <v>339</v>
      </c>
      <c r="K614" s="10">
        <v>265</v>
      </c>
      <c r="L614" s="10">
        <v>265</v>
      </c>
      <c r="M614" s="10">
        <v>50</v>
      </c>
      <c r="N614" s="76">
        <f t="shared" si="10"/>
        <v>4.3</v>
      </c>
      <c r="O614" s="7" t="s">
        <v>1808</v>
      </c>
      <c r="P614" s="7" t="s">
        <v>28</v>
      </c>
      <c r="Q614" s="8"/>
      <c r="R614" s="7"/>
      <c r="S614" s="7"/>
      <c r="T614" s="8">
        <v>46107</v>
      </c>
      <c r="U614" s="7"/>
    </row>
    <row r="615" spans="1:21" ht="25.5" customHeight="1" x14ac:dyDescent="0.3">
      <c r="A615" s="7">
        <v>130602</v>
      </c>
      <c r="B615" s="7" t="s">
        <v>20</v>
      </c>
      <c r="C615" s="8">
        <v>46098</v>
      </c>
      <c r="D615" s="8">
        <v>46105</v>
      </c>
      <c r="E615" s="7" t="s">
        <v>739</v>
      </c>
      <c r="F615" s="7" t="s">
        <v>1618</v>
      </c>
      <c r="G615" s="7" t="s">
        <v>851</v>
      </c>
      <c r="H615" s="9" t="s">
        <v>1822</v>
      </c>
      <c r="I615" s="7" t="s">
        <v>1620</v>
      </c>
      <c r="J615" s="7" t="s">
        <v>400</v>
      </c>
      <c r="K615" s="10">
        <v>265</v>
      </c>
      <c r="L615" s="10">
        <v>265</v>
      </c>
      <c r="M615" s="10">
        <v>95</v>
      </c>
      <c r="N615" s="76">
        <f t="shared" si="10"/>
        <v>1.7894736842105263</v>
      </c>
      <c r="O615" s="7" t="s">
        <v>1808</v>
      </c>
      <c r="P615" s="7" t="s">
        <v>28</v>
      </c>
      <c r="Q615" s="8"/>
      <c r="R615" s="7"/>
      <c r="S615" s="7"/>
      <c r="T615" s="8">
        <v>46107</v>
      </c>
      <c r="U615" s="7"/>
    </row>
    <row r="616" spans="1:21" ht="25.5" customHeight="1" x14ac:dyDescent="0.3">
      <c r="A616" s="7">
        <v>15816</v>
      </c>
      <c r="B616" s="7" t="s">
        <v>91</v>
      </c>
      <c r="C616" s="8">
        <v>46105</v>
      </c>
      <c r="D616" s="8">
        <v>46105</v>
      </c>
      <c r="E616" s="7" t="s">
        <v>809</v>
      </c>
      <c r="F616" s="7" t="s">
        <v>59</v>
      </c>
      <c r="G616" s="7" t="s">
        <v>1537</v>
      </c>
      <c r="H616" s="9" t="s">
        <v>1616</v>
      </c>
      <c r="I616" s="7" t="s">
        <v>1575</v>
      </c>
      <c r="J616" s="7" t="s">
        <v>311</v>
      </c>
      <c r="K616" s="10">
        <v>1900</v>
      </c>
      <c r="L616" s="10">
        <v>847.5</v>
      </c>
      <c r="M616" s="10">
        <v>450</v>
      </c>
      <c r="N616" s="76">
        <f t="shared" si="10"/>
        <v>0.8833333333333333</v>
      </c>
      <c r="O616" s="9" t="s">
        <v>1823</v>
      </c>
      <c r="P616" s="7" t="s">
        <v>28</v>
      </c>
      <c r="Q616" s="8"/>
      <c r="R616" s="7"/>
      <c r="S616" s="7"/>
      <c r="T616" s="8">
        <v>46108</v>
      </c>
      <c r="U616" s="7"/>
    </row>
    <row r="617" spans="1:21" ht="25.5" customHeight="1" x14ac:dyDescent="0.3">
      <c r="A617" s="7">
        <v>345608825</v>
      </c>
      <c r="B617" s="7" t="s">
        <v>20</v>
      </c>
      <c r="C617" s="8">
        <v>46106</v>
      </c>
      <c r="D617" s="8">
        <v>46106</v>
      </c>
      <c r="E617" s="7" t="s">
        <v>1392</v>
      </c>
      <c r="F617" s="7" t="s">
        <v>59</v>
      </c>
      <c r="G617" s="7" t="s">
        <v>1824</v>
      </c>
      <c r="H617" s="7" t="s">
        <v>1825</v>
      </c>
      <c r="I617" s="7" t="s">
        <v>1826</v>
      </c>
      <c r="J617" s="7" t="s">
        <v>49</v>
      </c>
      <c r="K617" s="10">
        <v>722.5</v>
      </c>
      <c r="L617" s="10">
        <v>480.13</v>
      </c>
      <c r="M617" s="10">
        <v>150</v>
      </c>
      <c r="N617" s="11" t="e" vm="1">
        <f>(#REF!-#REF!)/#REF!</f>
        <v>#REF!</v>
      </c>
      <c r="O617" s="7" t="s">
        <v>1827</v>
      </c>
      <c r="P617" s="7" t="s">
        <v>28</v>
      </c>
      <c r="Q617" s="8"/>
      <c r="R617" s="7"/>
      <c r="S617" s="7"/>
      <c r="U617" s="7"/>
    </row>
    <row r="618" spans="1:21" s="9" customFormat="1" ht="25.5" customHeight="1" x14ac:dyDescent="0.3">
      <c r="A618" s="9" t="s">
        <v>1828</v>
      </c>
      <c r="B618" s="9" t="s">
        <v>163</v>
      </c>
      <c r="C618" s="13">
        <v>45936</v>
      </c>
      <c r="D618" s="13">
        <v>45938</v>
      </c>
      <c r="E618" s="9" t="s">
        <v>1352</v>
      </c>
      <c r="G618" s="9" t="s">
        <v>1829</v>
      </c>
      <c r="H618" s="9" t="s">
        <v>1830</v>
      </c>
      <c r="I618" s="9" t="s">
        <v>1831</v>
      </c>
      <c r="J618" s="9" t="s">
        <v>235</v>
      </c>
      <c r="K618" s="14">
        <v>0</v>
      </c>
      <c r="L618" s="14">
        <v>18227.599999999999</v>
      </c>
      <c r="M618" s="14">
        <v>12250</v>
      </c>
      <c r="N618" s="36" t="e" vm="1">
        <f>(#REF!-#REF!)/#REF!</f>
        <v>#REF!</v>
      </c>
      <c r="O618" s="9" t="s">
        <v>1832</v>
      </c>
      <c r="P618" s="9" t="s">
        <v>28</v>
      </c>
      <c r="Q618" s="13"/>
      <c r="T618" s="13"/>
    </row>
    <row r="619" spans="1:21" ht="25.5" customHeight="1" x14ac:dyDescent="0.3">
      <c r="A619" s="9"/>
      <c r="B619" s="9"/>
      <c r="C619" s="13"/>
      <c r="D619" s="13"/>
      <c r="E619" s="9"/>
      <c r="F619" s="9"/>
      <c r="G619" s="9"/>
      <c r="H619" s="9"/>
      <c r="I619" s="9"/>
      <c r="J619" s="9"/>
      <c r="K619" s="14"/>
      <c r="L619" s="14"/>
      <c r="M619" s="14"/>
      <c r="N619" s="36" t="e">
        <f>(Table1[[#This Row],[NTE Approved ]]-Table1[[#This Row],[Cost]])/Table1[[#This Row],[Cost]]</f>
        <v>#DIV/0!</v>
      </c>
      <c r="O619" s="9"/>
      <c r="P619" s="9"/>
      <c r="Q619" s="13"/>
      <c r="R619" s="9"/>
      <c r="S619" s="9"/>
    </row>
    <row r="620" spans="1:21" ht="25.5" customHeight="1" x14ac:dyDescent="0.3">
      <c r="A620" s="9"/>
      <c r="B620" s="9"/>
      <c r="C620" s="13"/>
      <c r="D620" s="13"/>
      <c r="E620" s="9"/>
      <c r="F620" s="9"/>
      <c r="G620" s="9"/>
      <c r="H620" s="9"/>
      <c r="I620" s="9"/>
      <c r="J620" s="9"/>
      <c r="K620" s="14"/>
      <c r="L620" s="14"/>
      <c r="M620" s="14"/>
      <c r="N620" s="36" t="e">
        <f>(Table1[[#This Row],[NTE Approved ]]-Table1[[#This Row],[Cost]])/Table1[[#This Row],[Cost]]</f>
        <v>#DIV/0!</v>
      </c>
      <c r="O620" s="9"/>
      <c r="P620" s="9"/>
      <c r="Q620" s="13"/>
      <c r="R620" s="9"/>
      <c r="S620" s="9"/>
    </row>
    <row r="621" spans="1:21" ht="25.5" customHeight="1" x14ac:dyDescent="0.3">
      <c r="A621" s="9"/>
      <c r="B621" s="9"/>
      <c r="C621" s="13"/>
      <c r="D621" s="13"/>
      <c r="E621" s="9"/>
      <c r="F621" s="9"/>
      <c r="G621" s="9"/>
      <c r="H621" s="9"/>
      <c r="I621" s="9"/>
      <c r="J621" s="9"/>
      <c r="K621" s="14"/>
      <c r="L621" s="14"/>
      <c r="M621" s="14"/>
      <c r="N621" s="36" t="e">
        <f>(Table1[[#This Row],[NTE Approved ]]-Table1[[#This Row],[Cost]])/Table1[[#This Row],[Cost]]</f>
        <v>#DIV/0!</v>
      </c>
      <c r="O621" s="9"/>
      <c r="P621" s="9"/>
      <c r="Q621" s="13"/>
      <c r="R621" s="9"/>
      <c r="S621" s="9"/>
    </row>
    <row r="622" spans="1:21" ht="25.5" customHeight="1" x14ac:dyDescent="0.3">
      <c r="A622" s="9"/>
      <c r="B622" s="9"/>
      <c r="C622" s="13"/>
      <c r="D622" s="13"/>
      <c r="E622" s="9"/>
      <c r="F622" s="9"/>
      <c r="G622" s="9"/>
      <c r="H622" s="9"/>
      <c r="I622" s="9"/>
      <c r="J622" s="9"/>
      <c r="K622" s="14"/>
      <c r="L622" s="14"/>
      <c r="M622" s="14"/>
      <c r="N622" s="36" t="e">
        <f>(Table1[[#This Row],[NTE Approved ]]-Table1[[#This Row],[Cost]])/Table1[[#This Row],[Cost]]</f>
        <v>#DIV/0!</v>
      </c>
      <c r="O622" s="9"/>
      <c r="P622" s="9"/>
      <c r="Q622" s="13"/>
      <c r="R622" s="9"/>
      <c r="S622" s="9"/>
    </row>
    <row r="623" spans="1:21" ht="25.5" customHeight="1" x14ac:dyDescent="0.3">
      <c r="A623" s="9"/>
      <c r="B623" s="9"/>
      <c r="C623" s="13"/>
      <c r="D623" s="13"/>
      <c r="E623" s="9"/>
      <c r="F623" s="9"/>
      <c r="G623" s="9"/>
      <c r="H623" s="9"/>
      <c r="I623" s="9"/>
      <c r="J623" s="9"/>
      <c r="K623" s="14"/>
      <c r="L623" s="14"/>
      <c r="M623" s="14"/>
      <c r="N623" s="36" t="e">
        <f>(Table1[[#This Row],[NTE Approved ]]-Table1[[#This Row],[Cost]])/Table1[[#This Row],[Cost]]</f>
        <v>#DIV/0!</v>
      </c>
      <c r="O623" s="9"/>
      <c r="P623" s="9"/>
      <c r="Q623" s="13"/>
      <c r="R623" s="9"/>
      <c r="S623" s="9"/>
    </row>
    <row r="624" spans="1:21" ht="25.5" customHeight="1" x14ac:dyDescent="0.3">
      <c r="A624" s="9"/>
      <c r="B624" s="9"/>
      <c r="C624" s="13"/>
      <c r="D624" s="13"/>
      <c r="E624" s="9"/>
      <c r="F624" s="9"/>
      <c r="G624" s="9"/>
      <c r="H624" s="9"/>
      <c r="I624" s="9"/>
      <c r="J624" s="9"/>
      <c r="K624" s="14"/>
      <c r="L624" s="14"/>
      <c r="M624" s="14"/>
      <c r="N624" s="36" t="e">
        <f>(Table1[[#This Row],[NTE Approved ]]-Table1[[#This Row],[Cost]])/Table1[[#This Row],[Cost]]</f>
        <v>#DIV/0!</v>
      </c>
      <c r="O624" s="9"/>
      <c r="P624" s="9"/>
      <c r="Q624" s="13"/>
      <c r="R624" s="9"/>
      <c r="S624" s="9"/>
    </row>
    <row r="625" spans="1:19" ht="25.5" customHeight="1" x14ac:dyDescent="0.3">
      <c r="A625" s="9"/>
      <c r="B625" s="9"/>
      <c r="C625" s="13"/>
      <c r="D625" s="13"/>
      <c r="E625" s="9"/>
      <c r="F625" s="9"/>
      <c r="G625" s="9"/>
      <c r="H625" s="9"/>
      <c r="I625" s="9"/>
      <c r="J625" s="9"/>
      <c r="K625" s="14"/>
      <c r="L625" s="14"/>
      <c r="M625" s="14"/>
      <c r="N625" s="36" t="e">
        <f>(Table1[[#This Row],[NTE Approved ]]-Table1[[#This Row],[Cost]])/Table1[[#This Row],[Cost]]</f>
        <v>#DIV/0!</v>
      </c>
      <c r="O625" s="9"/>
      <c r="P625" s="9"/>
      <c r="Q625" s="13"/>
      <c r="R625" s="9"/>
      <c r="S625" s="9"/>
    </row>
    <row r="626" spans="1:19" ht="25.5" customHeight="1" x14ac:dyDescent="0.3">
      <c r="A626" s="9"/>
      <c r="B626" s="9"/>
      <c r="C626" s="13"/>
      <c r="D626" s="13"/>
      <c r="E626" s="9"/>
      <c r="F626" s="9"/>
      <c r="G626" s="9"/>
      <c r="H626" s="9"/>
      <c r="I626" s="9"/>
      <c r="J626" s="9"/>
      <c r="K626" s="14"/>
      <c r="L626" s="14"/>
      <c r="M626" s="14"/>
      <c r="N626" s="36" t="e">
        <f>(Table1[[#This Row],[NTE Approved ]]-Table1[[#This Row],[Cost]])/Table1[[#This Row],[Cost]]</f>
        <v>#DIV/0!</v>
      </c>
      <c r="O626" s="9"/>
      <c r="P626" s="9"/>
      <c r="Q626" s="13"/>
      <c r="R626" s="9"/>
      <c r="S626" s="9"/>
    </row>
    <row r="627" spans="1:19" ht="25.5" customHeight="1" x14ac:dyDescent="0.3">
      <c r="A627" s="9"/>
      <c r="B627" s="9"/>
      <c r="C627" s="13"/>
      <c r="D627" s="13"/>
      <c r="E627" s="9"/>
      <c r="F627" s="9"/>
      <c r="G627" s="9"/>
      <c r="H627" s="9"/>
      <c r="I627" s="9"/>
      <c r="J627" s="9"/>
      <c r="K627" s="14"/>
      <c r="L627" s="14"/>
      <c r="M627" s="14"/>
      <c r="N627" s="36" t="e">
        <f>(Table1[[#This Row],[NTE Approved ]]-Table1[[#This Row],[Cost]])/Table1[[#This Row],[Cost]]</f>
        <v>#DIV/0!</v>
      </c>
      <c r="O627" s="9"/>
      <c r="P627" s="9"/>
      <c r="Q627" s="13"/>
      <c r="R627" s="9"/>
      <c r="S627" s="9"/>
    </row>
    <row r="628" spans="1:19" ht="25.5" customHeight="1" x14ac:dyDescent="0.3">
      <c r="A628" s="9"/>
      <c r="B628" s="9"/>
      <c r="C628" s="13"/>
      <c r="D628" s="13"/>
      <c r="E628" s="9"/>
      <c r="F628" s="9"/>
      <c r="G628" s="9"/>
      <c r="H628" s="9"/>
      <c r="I628" s="9"/>
      <c r="J628" s="9"/>
      <c r="K628" s="14"/>
      <c r="L628" s="14"/>
      <c r="M628" s="14"/>
      <c r="N628" s="36" t="e">
        <f>(Table1[[#This Row],[NTE Approved ]]-Table1[[#This Row],[Cost]])/Table1[[#This Row],[Cost]]</f>
        <v>#DIV/0!</v>
      </c>
      <c r="O628" s="9"/>
      <c r="P628" s="9"/>
      <c r="Q628" s="13"/>
      <c r="R628" s="9"/>
      <c r="S628" s="9"/>
    </row>
    <row r="629" spans="1:19" ht="25.5" customHeight="1" x14ac:dyDescent="0.3">
      <c r="A629" s="9"/>
      <c r="B629" s="9"/>
      <c r="C629" s="13"/>
      <c r="D629" s="13"/>
      <c r="E629" s="9"/>
      <c r="F629" s="9"/>
      <c r="G629" s="9"/>
      <c r="H629" s="9"/>
      <c r="I629" s="9"/>
      <c r="J629" s="9"/>
      <c r="K629" s="14"/>
      <c r="L629" s="14"/>
      <c r="M629" s="14"/>
      <c r="N629" s="36" t="e">
        <f>(Table1[[#This Row],[NTE Approved ]]-Table1[[#This Row],[Cost]])/Table1[[#This Row],[Cost]]</f>
        <v>#DIV/0!</v>
      </c>
      <c r="O629" s="9"/>
      <c r="P629" s="9"/>
      <c r="Q629" s="13"/>
      <c r="R629" s="9"/>
      <c r="S629" s="9"/>
    </row>
    <row r="630" spans="1:19" ht="25.5" customHeight="1" x14ac:dyDescent="0.3">
      <c r="A630" s="9"/>
      <c r="B630" s="9"/>
      <c r="C630" s="13"/>
      <c r="D630" s="13"/>
      <c r="E630" s="9"/>
      <c r="F630" s="9"/>
      <c r="G630" s="9"/>
      <c r="H630" s="9"/>
      <c r="I630" s="9"/>
      <c r="J630" s="9"/>
      <c r="K630" s="14"/>
      <c r="L630" s="14"/>
      <c r="M630" s="14"/>
      <c r="N630" s="36" t="e">
        <f>(Table1[[#This Row],[NTE Approved ]]-Table1[[#This Row],[Cost]])/Table1[[#This Row],[Cost]]</f>
        <v>#DIV/0!</v>
      </c>
      <c r="O630" s="9"/>
      <c r="P630" s="9"/>
      <c r="Q630" s="13"/>
      <c r="R630" s="9"/>
      <c r="S630" s="9"/>
    </row>
    <row r="631" spans="1:19" ht="25.5" customHeight="1" x14ac:dyDescent="0.3">
      <c r="A631" s="9"/>
      <c r="B631" s="9"/>
      <c r="C631" s="13"/>
      <c r="D631" s="13"/>
      <c r="E631" s="9"/>
      <c r="F631" s="9"/>
      <c r="G631" s="9"/>
      <c r="H631" s="9"/>
      <c r="I631" s="9"/>
      <c r="J631" s="9"/>
      <c r="K631" s="14"/>
      <c r="L631" s="14"/>
      <c r="M631" s="14"/>
      <c r="N631" s="36" t="e">
        <f>(Table1[[#This Row],[NTE Approved ]]-Table1[[#This Row],[Cost]])/Table1[[#This Row],[Cost]]</f>
        <v>#DIV/0!</v>
      </c>
      <c r="O631" s="9"/>
      <c r="P631" s="9"/>
      <c r="Q631" s="13"/>
      <c r="R631" s="9"/>
      <c r="S631" s="9"/>
    </row>
    <row r="632" spans="1:19" ht="25.5" customHeight="1" x14ac:dyDescent="0.3">
      <c r="A632" s="9"/>
      <c r="B632" s="9"/>
      <c r="C632" s="13"/>
      <c r="D632" s="13"/>
      <c r="E632" s="9"/>
      <c r="F632" s="9"/>
      <c r="G632" s="9"/>
      <c r="H632" s="9"/>
      <c r="I632" s="9"/>
      <c r="J632" s="9"/>
      <c r="K632" s="14"/>
      <c r="L632" s="14"/>
      <c r="M632" s="14"/>
      <c r="N632" s="36" t="e">
        <f>(Table1[[#This Row],[NTE Approved ]]-Table1[[#This Row],[Cost]])/Table1[[#This Row],[Cost]]</f>
        <v>#DIV/0!</v>
      </c>
      <c r="O632" s="9"/>
      <c r="P632" s="9"/>
      <c r="Q632" s="13"/>
      <c r="R632" s="9"/>
      <c r="S632" s="9"/>
    </row>
    <row r="633" spans="1:19" ht="25.5" customHeight="1" x14ac:dyDescent="0.3">
      <c r="A633" s="9"/>
      <c r="B633" s="9"/>
      <c r="C633" s="13"/>
      <c r="D633" s="13"/>
      <c r="E633" s="9"/>
      <c r="F633" s="9"/>
      <c r="G633" s="9"/>
      <c r="H633" s="9"/>
      <c r="I633" s="9"/>
      <c r="J633" s="9"/>
      <c r="K633" s="14"/>
      <c r="L633" s="14"/>
      <c r="M633" s="14"/>
      <c r="N633" s="36" t="e">
        <f>(Table1[[#This Row],[NTE Approved ]]-Table1[[#This Row],[Cost]])/Table1[[#This Row],[Cost]]</f>
        <v>#DIV/0!</v>
      </c>
      <c r="O633" s="9"/>
      <c r="P633" s="9"/>
      <c r="Q633" s="13"/>
      <c r="R633" s="9"/>
      <c r="S633" s="9"/>
    </row>
    <row r="634" spans="1:19" ht="25.5" customHeight="1" x14ac:dyDescent="0.3">
      <c r="A634" s="9"/>
      <c r="B634" s="9"/>
      <c r="C634" s="13"/>
      <c r="D634" s="13"/>
      <c r="E634" s="9"/>
      <c r="F634" s="9"/>
      <c r="G634" s="9"/>
      <c r="H634" s="9"/>
      <c r="I634" s="9"/>
      <c r="J634" s="9"/>
      <c r="K634" s="14"/>
      <c r="L634" s="14"/>
      <c r="M634" s="14"/>
      <c r="N634" s="36" t="e">
        <f>(Table1[[#This Row],[NTE Approved ]]-Table1[[#This Row],[Cost]])/Table1[[#This Row],[Cost]]</f>
        <v>#DIV/0!</v>
      </c>
      <c r="O634" s="9"/>
      <c r="P634" s="9"/>
      <c r="Q634" s="13"/>
      <c r="R634" s="9"/>
      <c r="S634" s="9"/>
    </row>
    <row r="635" spans="1:19" ht="25.5" customHeight="1" x14ac:dyDescent="0.3">
      <c r="A635" s="9"/>
      <c r="B635" s="9"/>
      <c r="C635" s="13"/>
      <c r="D635" s="13"/>
      <c r="E635" s="9"/>
      <c r="F635" s="9"/>
      <c r="G635" s="9"/>
      <c r="H635" s="9"/>
      <c r="I635" s="9"/>
      <c r="J635" s="9"/>
      <c r="K635" s="14"/>
      <c r="L635" s="14"/>
      <c r="M635" s="14"/>
      <c r="N635" s="36" t="e">
        <f>(Table1[[#This Row],[NTE Approved ]]-Table1[[#This Row],[Cost]])/Table1[[#This Row],[Cost]]</f>
        <v>#DIV/0!</v>
      </c>
      <c r="O635" s="9"/>
      <c r="P635" s="9"/>
      <c r="Q635" s="13"/>
      <c r="R635" s="9"/>
      <c r="S635" s="9"/>
    </row>
    <row r="636" spans="1:19" ht="25.5" customHeight="1" x14ac:dyDescent="0.3">
      <c r="A636" s="9"/>
      <c r="B636" s="9"/>
      <c r="C636" s="13"/>
      <c r="D636" s="13"/>
      <c r="E636" s="9"/>
      <c r="F636" s="9"/>
      <c r="G636" s="9"/>
      <c r="H636" s="9"/>
      <c r="I636" s="9"/>
      <c r="J636" s="9"/>
      <c r="K636" s="14"/>
      <c r="L636" s="14"/>
      <c r="M636" s="14"/>
      <c r="N636" s="36" t="e">
        <f>(Table1[[#This Row],[NTE Approved ]]-Table1[[#This Row],[Cost]])/Table1[[#This Row],[Cost]]</f>
        <v>#DIV/0!</v>
      </c>
      <c r="O636" s="9"/>
      <c r="P636" s="9"/>
      <c r="Q636" s="13"/>
      <c r="R636" s="9"/>
      <c r="S636" s="9"/>
    </row>
    <row r="637" spans="1:19" ht="25.5" customHeight="1" x14ac:dyDescent="0.3">
      <c r="A637" s="9"/>
      <c r="B637" s="9"/>
      <c r="C637" s="13"/>
      <c r="D637" s="13"/>
      <c r="E637" s="9"/>
      <c r="F637" s="9"/>
      <c r="G637" s="9"/>
      <c r="H637" s="9"/>
      <c r="I637" s="9"/>
      <c r="J637" s="9"/>
      <c r="K637" s="14"/>
      <c r="L637" s="14"/>
      <c r="M637" s="14"/>
      <c r="N637" s="36" t="e">
        <f>(Table1[[#This Row],[NTE Approved ]]-Table1[[#This Row],[Cost]])/Table1[[#This Row],[Cost]]</f>
        <v>#DIV/0!</v>
      </c>
      <c r="O637" s="9"/>
      <c r="P637" s="9"/>
      <c r="Q637" s="13"/>
      <c r="R637" s="9"/>
      <c r="S637" s="9"/>
    </row>
    <row r="638" spans="1:19" ht="25.5" customHeight="1" x14ac:dyDescent="0.3">
      <c r="A638" s="9"/>
      <c r="B638" s="9"/>
      <c r="C638" s="13"/>
      <c r="D638" s="13"/>
      <c r="E638" s="9"/>
      <c r="F638" s="9"/>
      <c r="G638" s="9"/>
      <c r="H638" s="9"/>
      <c r="I638" s="9"/>
      <c r="J638" s="9"/>
      <c r="K638" s="14"/>
      <c r="L638" s="14"/>
      <c r="M638" s="14"/>
      <c r="N638" s="36" t="e">
        <f>(Table1[[#This Row],[NTE Approved ]]-Table1[[#This Row],[Cost]])/Table1[[#This Row],[Cost]]</f>
        <v>#DIV/0!</v>
      </c>
      <c r="O638" s="9"/>
      <c r="P638" s="9"/>
      <c r="Q638" s="13"/>
      <c r="R638" s="9"/>
      <c r="S638" s="9"/>
    </row>
    <row r="639" spans="1:19" ht="25.5" customHeight="1" x14ac:dyDescent="0.3">
      <c r="A639" s="9"/>
      <c r="B639" s="9"/>
      <c r="C639" s="13"/>
      <c r="D639" s="13"/>
      <c r="E639" s="9"/>
      <c r="F639" s="9"/>
      <c r="G639" s="9"/>
      <c r="H639" s="9"/>
      <c r="I639" s="9"/>
      <c r="J639" s="9"/>
      <c r="K639" s="14"/>
      <c r="L639" s="14"/>
      <c r="M639" s="14"/>
      <c r="N639" s="36" t="e">
        <f>(Table1[[#This Row],[NTE Approved ]]-Table1[[#This Row],[Cost]])/Table1[[#This Row],[Cost]]</f>
        <v>#DIV/0!</v>
      </c>
      <c r="O639" s="9"/>
      <c r="P639" s="9"/>
      <c r="Q639" s="13"/>
      <c r="R639" s="9"/>
      <c r="S639" s="9"/>
    </row>
    <row r="640" spans="1:19" ht="25.5" customHeight="1" x14ac:dyDescent="0.3">
      <c r="A640" s="9"/>
      <c r="B640" s="9"/>
      <c r="C640" s="13"/>
      <c r="D640" s="13"/>
      <c r="E640" s="9"/>
      <c r="F640" s="9"/>
      <c r="G640" s="9"/>
      <c r="H640" s="9"/>
      <c r="I640" s="9"/>
      <c r="J640" s="9"/>
      <c r="K640" s="14"/>
      <c r="L640" s="14"/>
      <c r="M640" s="14"/>
      <c r="N640" s="36" t="e">
        <f>(Table1[[#This Row],[NTE Approved ]]-Table1[[#This Row],[Cost]])/Table1[[#This Row],[Cost]]</f>
        <v>#DIV/0!</v>
      </c>
      <c r="O640" s="9"/>
      <c r="P640" s="9"/>
      <c r="Q640" s="13"/>
      <c r="R640" s="9"/>
      <c r="S640" s="9"/>
    </row>
    <row r="641" spans="1:19" ht="25.5" customHeight="1" x14ac:dyDescent="0.3">
      <c r="A641" s="9"/>
      <c r="B641" s="9"/>
      <c r="C641" s="13"/>
      <c r="D641" s="13"/>
      <c r="E641" s="9"/>
      <c r="F641" s="9"/>
      <c r="G641" s="9"/>
      <c r="H641" s="9"/>
      <c r="I641" s="9"/>
      <c r="J641" s="9"/>
      <c r="K641" s="14"/>
      <c r="L641" s="14"/>
      <c r="M641" s="14"/>
      <c r="N641" s="36" t="e">
        <f>(Table1[[#This Row],[NTE Approved ]]-Table1[[#This Row],[Cost]])/Table1[[#This Row],[Cost]]</f>
        <v>#DIV/0!</v>
      </c>
      <c r="O641" s="9"/>
      <c r="P641" s="9"/>
      <c r="Q641" s="13"/>
      <c r="R641" s="9"/>
      <c r="S641" s="9"/>
    </row>
    <row r="642" spans="1:19" ht="25.5" customHeight="1" x14ac:dyDescent="0.3">
      <c r="A642" s="9"/>
      <c r="B642" s="9"/>
      <c r="C642" s="13"/>
      <c r="D642" s="13"/>
      <c r="E642" s="9"/>
      <c r="F642" s="9"/>
      <c r="G642" s="9"/>
      <c r="H642" s="9"/>
      <c r="I642" s="9"/>
      <c r="J642" s="9"/>
      <c r="K642" s="14"/>
      <c r="L642" s="14"/>
      <c r="M642" s="14"/>
      <c r="N642" s="36" t="e">
        <f>(Table1[[#This Row],[NTE Approved ]]-Table1[[#This Row],[Cost]])/Table1[[#This Row],[Cost]]</f>
        <v>#DIV/0!</v>
      </c>
      <c r="O642" s="9"/>
      <c r="P642" s="9"/>
      <c r="Q642" s="13"/>
      <c r="R642" s="9"/>
      <c r="S642" s="9"/>
    </row>
    <row r="643" spans="1:19" ht="25.5" customHeight="1" x14ac:dyDescent="0.3">
      <c r="A643" s="9"/>
      <c r="B643" s="9"/>
      <c r="C643" s="13"/>
      <c r="D643" s="13"/>
      <c r="E643" s="9"/>
      <c r="F643" s="9"/>
      <c r="G643" s="9"/>
      <c r="H643" s="9"/>
      <c r="I643" s="9"/>
      <c r="J643" s="9"/>
      <c r="K643" s="14"/>
      <c r="L643" s="14"/>
      <c r="M643" s="14"/>
      <c r="N643" s="36" t="e">
        <f>(Table1[[#This Row],[NTE Approved ]]-Table1[[#This Row],[Cost]])/Table1[[#This Row],[Cost]]</f>
        <v>#DIV/0!</v>
      </c>
      <c r="O643" s="9"/>
      <c r="P643" s="9"/>
      <c r="Q643" s="13"/>
      <c r="R643" s="9"/>
      <c r="S643" s="9"/>
    </row>
    <row r="644" spans="1:19" ht="25.5" customHeight="1" x14ac:dyDescent="0.3">
      <c r="A644" s="9"/>
      <c r="B644" s="9"/>
      <c r="C644" s="13"/>
      <c r="D644" s="13"/>
      <c r="E644" s="9"/>
      <c r="F644" s="9"/>
      <c r="G644" s="9"/>
      <c r="H644" s="9"/>
      <c r="I644" s="9"/>
      <c r="J644" s="9"/>
      <c r="K644" s="14"/>
      <c r="L644" s="14"/>
      <c r="M644" s="14"/>
      <c r="N644" s="36" t="e">
        <f>(Table1[[#This Row],[NTE Approved ]]-Table1[[#This Row],[Cost]])/Table1[[#This Row],[Cost]]</f>
        <v>#DIV/0!</v>
      </c>
      <c r="O644" s="9"/>
      <c r="P644" s="9"/>
      <c r="Q644" s="13"/>
      <c r="R644" s="9"/>
      <c r="S644" s="9"/>
    </row>
    <row r="645" spans="1:19" ht="25.5" customHeight="1" x14ac:dyDescent="0.3">
      <c r="A645" s="9"/>
      <c r="B645" s="9"/>
      <c r="C645" s="13"/>
      <c r="D645" s="13"/>
      <c r="E645" s="9"/>
      <c r="F645" s="9"/>
      <c r="G645" s="9"/>
      <c r="H645" s="9"/>
      <c r="I645" s="9"/>
      <c r="J645" s="9"/>
      <c r="K645" s="14"/>
      <c r="L645" s="14"/>
      <c r="M645" s="14"/>
      <c r="N645" s="36" t="e">
        <f>(Table1[[#This Row],[NTE Approved ]]-Table1[[#This Row],[Cost]])/Table1[[#This Row],[Cost]]</f>
        <v>#DIV/0!</v>
      </c>
      <c r="O645" s="9"/>
      <c r="P645" s="9"/>
      <c r="Q645" s="13"/>
      <c r="R645" s="9"/>
      <c r="S645" s="9"/>
    </row>
  </sheetData>
  <protectedRanges>
    <protectedRange sqref="E12:E20" name="Range1_7_1"/>
  </protectedRanges>
  <mergeCells count="1">
    <mergeCell ref="V175:AB175"/>
  </mergeCells>
  <conditionalFormatting sqref="A2:A524 A619:A3000">
    <cfRule type="expression" dxfId="390" priority="648">
      <formula>ISNUMBER(SEARCH("recall", $R2))</formula>
    </cfRule>
  </conditionalFormatting>
  <conditionalFormatting sqref="A525:A528">
    <cfRule type="expression" dxfId="389" priority="587">
      <formula>ISNUMBER(SEARCH("recall", $R525))</formula>
    </cfRule>
  </conditionalFormatting>
  <conditionalFormatting sqref="A529">
    <cfRule type="expression" dxfId="388" priority="573">
      <formula>ISNUMBER(SEARCH("recall", $R529))</formula>
    </cfRule>
  </conditionalFormatting>
  <conditionalFormatting sqref="A530:A531">
    <cfRule type="expression" dxfId="387" priority="541">
      <formula>ISNUMBER(SEARCH("recall", $R530))</formula>
    </cfRule>
  </conditionalFormatting>
  <conditionalFormatting sqref="A532:A564">
    <cfRule type="expression" dxfId="386" priority="406">
      <formula>ISNUMBER(SEARCH("recall", $R532))</formula>
    </cfRule>
  </conditionalFormatting>
  <conditionalFormatting sqref="A563:A564">
    <cfRule type="expression" dxfId="385" priority="396">
      <formula>$P656="Approved Scheduled "</formula>
    </cfRule>
    <cfRule type="expression" dxfId="384" priority="395">
      <formula>$P656="Billed For incurred"</formula>
    </cfRule>
    <cfRule type="expression" dxfId="383" priority="394">
      <formula>$P656="Secured"</formula>
    </cfRule>
    <cfRule type="expression" dxfId="382" priority="393">
      <formula>$P656="Canceled No Incurred "</formula>
    </cfRule>
    <cfRule type="expression" dxfId="381" priority="392">
      <formula>$P656="Awaiting Advice"</formula>
    </cfRule>
    <cfRule type="expression" dxfId="380" priority="391">
      <formula>$P656="Parts Needed"</formula>
    </cfRule>
    <cfRule type="expression" dxfId="379" priority="402">
      <formula>$P656="Needs Proposal"</formula>
    </cfRule>
    <cfRule type="expression" dxfId="378" priority="390">
      <formula>$P656="Revised Quote Needed"</formula>
    </cfRule>
    <cfRule type="expression" dxfId="377" priority="401">
      <formula>$P656="Parts Needed"</formula>
    </cfRule>
    <cfRule type="expression" dxfId="376" priority="400">
      <formula>$P656="OnSite"</formula>
    </cfRule>
    <cfRule type="expression" dxfId="375" priority="399">
      <formula>$P656="Approved Not Scheduled"</formula>
    </cfRule>
    <cfRule type="expression" dxfId="374" priority="398">
      <formula>$P656="Job Done"</formula>
    </cfRule>
    <cfRule type="expression" dxfId="373" priority="397">
      <formula>$P656="Return Trip Needed"</formula>
    </cfRule>
  </conditionalFormatting>
  <conditionalFormatting sqref="A564">
    <cfRule type="expression" dxfId="372" priority="389">
      <formula>$P657="Awaiting Approval"</formula>
    </cfRule>
  </conditionalFormatting>
  <conditionalFormatting sqref="A565">
    <cfRule type="expression" dxfId="371" priority="346">
      <formula>$P666="Awaiting Advice"</formula>
    </cfRule>
    <cfRule type="expression" dxfId="370" priority="347">
      <formula>$P666="Canceled No Incurred "</formula>
    </cfRule>
    <cfRule type="expression" dxfId="369" priority="348">
      <formula>$P666="Secured"</formula>
    </cfRule>
    <cfRule type="expression" dxfId="368" priority="354">
      <formula>$P666="OnSite"</formula>
    </cfRule>
    <cfRule type="expression" dxfId="367" priority="350">
      <formula>$P666="Approved Scheduled "</formula>
    </cfRule>
    <cfRule type="expression" dxfId="366" priority="344">
      <formula>$P666="Revised Quote Needed"</formula>
    </cfRule>
    <cfRule type="expression" dxfId="365" priority="349">
      <formula>$P666="Billed For incurred"</formula>
    </cfRule>
    <cfRule type="expression" dxfId="364" priority="351">
      <formula>$P666="Return Trip Needed"</formula>
    </cfRule>
    <cfRule type="expression" dxfId="363" priority="352">
      <formula>$P666="Job Done"</formula>
    </cfRule>
    <cfRule type="expression" dxfId="362" priority="353">
      <formula>$P666="Approved Not Scheduled"</formula>
    </cfRule>
    <cfRule type="expression" dxfId="361" priority="356">
      <formula>$P666="Needs Proposal"</formula>
    </cfRule>
    <cfRule type="expression" dxfId="360" priority="357">
      <formula>$P666="Awaiting Approval"</formula>
    </cfRule>
    <cfRule type="expression" dxfId="359" priority="345">
      <formula>$P666="Parts Needed"</formula>
    </cfRule>
    <cfRule type="expression" dxfId="358" priority="355">
      <formula>$P666="Parts Needed"</formula>
    </cfRule>
  </conditionalFormatting>
  <conditionalFormatting sqref="A565:A571">
    <cfRule type="expression" dxfId="357" priority="375">
      <formula>ISNUMBER(SEARCH("recall", $R565))</formula>
    </cfRule>
  </conditionalFormatting>
  <conditionalFormatting sqref="A566">
    <cfRule type="expression" dxfId="356" priority="369">
      <formula>$P602="OnSite"</formula>
    </cfRule>
    <cfRule type="expression" dxfId="355" priority="366">
      <formula>$P602="Return Trip Needed"</formula>
    </cfRule>
    <cfRule type="expression" dxfId="354" priority="365">
      <formula>$P602="Approved Scheduled "</formula>
    </cfRule>
    <cfRule type="expression" dxfId="353" priority="364">
      <formula>$P602="Billed For incurred"</formula>
    </cfRule>
    <cfRule type="expression" dxfId="352" priority="363">
      <formula>$P602="Secured"</formula>
    </cfRule>
    <cfRule type="expression" dxfId="351" priority="371">
      <formula>$P602="Needs Proposal"</formula>
    </cfRule>
    <cfRule type="expression" dxfId="350" priority="361">
      <formula>$P602="Awaiting Advice"</formula>
    </cfRule>
    <cfRule type="expression" dxfId="349" priority="360">
      <formula>$P602="Parts Needed"</formula>
    </cfRule>
    <cfRule type="expression" dxfId="348" priority="359">
      <formula>$P602="Revised Quote Needed"</formula>
    </cfRule>
    <cfRule type="expression" dxfId="347" priority="358">
      <formula>$P602="Awaiting Approval"</formula>
    </cfRule>
    <cfRule type="expression" dxfId="346" priority="370">
      <formula>$P602="Parts Needed"</formula>
    </cfRule>
    <cfRule type="expression" dxfId="345" priority="368">
      <formula>$P602="Approved Not Scheduled"</formula>
    </cfRule>
    <cfRule type="expression" dxfId="344" priority="367">
      <formula>$P602="Job Done"</formula>
    </cfRule>
    <cfRule type="expression" dxfId="343" priority="362">
      <formula>$P602="Canceled No Incurred "</formula>
    </cfRule>
  </conditionalFormatting>
  <conditionalFormatting sqref="A572:A600">
    <cfRule type="expression" dxfId="342" priority="194">
      <formula>ISNUMBER(SEARCH("recall", $R572))</formula>
    </cfRule>
  </conditionalFormatting>
  <conditionalFormatting sqref="A601">
    <cfRule type="expression" dxfId="341" priority="177">
      <formula>ISNUMBER(SEARCH("recall", $R601))</formula>
    </cfRule>
  </conditionalFormatting>
  <conditionalFormatting sqref="A617">
    <cfRule type="expression" dxfId="340" priority="16">
      <formula>ISNUMBER(SEARCH("recall", $R617))</formula>
    </cfRule>
  </conditionalFormatting>
  <conditionalFormatting sqref="A601:M603 O601:S603">
    <cfRule type="expression" dxfId="339" priority="171">
      <formula>#REF!="Awaiting Approval"</formula>
    </cfRule>
    <cfRule type="expression" dxfId="338" priority="170">
      <formula>#REF!="Needs Proposal"</formula>
    </cfRule>
  </conditionalFormatting>
  <conditionalFormatting sqref="A601:M604 O601:T604">
    <cfRule type="expression" dxfId="337" priority="185">
      <formula>$P601="Job Done"</formula>
    </cfRule>
    <cfRule type="expression" dxfId="336" priority="183">
      <formula>$P601="Approved Scheduled "</formula>
    </cfRule>
    <cfRule type="expression" dxfId="335" priority="184">
      <formula>$P601="Return Trip Needed"</formula>
    </cfRule>
    <cfRule type="expression" dxfId="334" priority="182">
      <formula>$P601="Billed For incurred"</formula>
    </cfRule>
    <cfRule type="expression" dxfId="333" priority="181">
      <formula>$P601="Secured"</formula>
    </cfRule>
    <cfRule type="expression" dxfId="332" priority="180">
      <formula>$P601="Canceled No Incurred "</formula>
    </cfRule>
    <cfRule type="expression" dxfId="331" priority="179">
      <formula>$P601="Awaiting Advice"</formula>
    </cfRule>
    <cfRule type="expression" dxfId="330" priority="175">
      <formula>$P601="On Hold"</formula>
    </cfRule>
    <cfRule type="expression" dxfId="329" priority="172">
      <formula>$P591="Awaiting Approval"</formula>
    </cfRule>
    <cfRule type="expression" dxfId="328" priority="187">
      <formula>$P601="OnSite"</formula>
    </cfRule>
    <cfRule type="expression" dxfId="327" priority="190">
      <formula>$P601="Awaiting Approval"</formula>
    </cfRule>
    <cfRule type="expression" dxfId="326" priority="189">
      <formula>$P601="Needs Proposal"</formula>
    </cfRule>
    <cfRule type="expression" dxfId="325" priority="188">
      <formula>$P601="Parts Needed"</formula>
    </cfRule>
    <cfRule type="expression" dxfId="324" priority="186">
      <formula>$P601="Approved Not Scheduled"</formula>
    </cfRule>
  </conditionalFormatting>
  <conditionalFormatting sqref="A601:M615 O601:T615">
    <cfRule type="expression" dxfId="323" priority="67">
      <formula>$P601="Revised Quote Needed"</formula>
    </cfRule>
  </conditionalFormatting>
  <conditionalFormatting sqref="A604:M604 O604:S604">
    <cfRule type="expression" dxfId="322" priority="173">
      <formula>$P603="Needs Proposal"</formula>
    </cfRule>
    <cfRule type="expression" dxfId="321" priority="174">
      <formula>$P603="Awaiting Approval"</formula>
    </cfRule>
  </conditionalFormatting>
  <conditionalFormatting sqref="A605:M606 O605:S606">
    <cfRule type="expression" dxfId="320" priority="153">
      <formula>#REF!="Awaiting Approval"</formula>
    </cfRule>
    <cfRule type="expression" dxfId="319" priority="152">
      <formula>#REF!="Needs Proposal"</formula>
    </cfRule>
  </conditionalFormatting>
  <conditionalFormatting sqref="A605:M606 O605:T606">
    <cfRule type="expression" dxfId="318" priority="166">
      <formula>$P605="Parts Needed"</formula>
    </cfRule>
    <cfRule type="expression" dxfId="317" priority="165">
      <formula>$P605="OnSite"</formula>
    </cfRule>
    <cfRule type="expression" dxfId="316" priority="164">
      <formula>$P605="Approved Not Scheduled"</formula>
    </cfRule>
    <cfRule type="expression" dxfId="315" priority="162">
      <formula>$P605="Return Trip Needed"</formula>
    </cfRule>
    <cfRule type="expression" dxfId="314" priority="161">
      <formula>$P605="Approved Scheduled "</formula>
    </cfRule>
    <cfRule type="expression" dxfId="313" priority="160">
      <formula>$P605="Billed For incurred"</formula>
    </cfRule>
    <cfRule type="expression" dxfId="312" priority="159">
      <formula>$P605="Secured"</formula>
    </cfRule>
    <cfRule type="expression" dxfId="311" priority="158">
      <formula>$P605="Canceled No Incurred "</formula>
    </cfRule>
    <cfRule type="expression" dxfId="310" priority="157">
      <formula>$P605="Awaiting Advice"</formula>
    </cfRule>
    <cfRule type="expression" dxfId="309" priority="154">
      <formula>$P605="On Hold"</formula>
    </cfRule>
    <cfRule type="expression" dxfId="308" priority="151">
      <formula>$P599="Awaiting Approval"</formula>
    </cfRule>
    <cfRule type="expression" dxfId="307" priority="168">
      <formula>$P605="Awaiting Approval"</formula>
    </cfRule>
    <cfRule type="expression" dxfId="306" priority="167">
      <formula>$P605="Needs Proposal"</formula>
    </cfRule>
    <cfRule type="expression" dxfId="305" priority="163">
      <formula>$P605="Job Done"</formula>
    </cfRule>
  </conditionalFormatting>
  <conditionalFormatting sqref="A607:M607 O607:S607">
    <cfRule type="expression" dxfId="304" priority="128">
      <formula>$P617="Needs Proposal"</formula>
    </cfRule>
    <cfRule type="expression" dxfId="303" priority="131">
      <formula>$P620="Awaiting Approval"</formula>
    </cfRule>
    <cfRule type="expression" dxfId="302" priority="133">
      <formula>$P611="Needs Proposal"</formula>
    </cfRule>
    <cfRule type="expression" dxfId="301" priority="134">
      <formula>$P611="Awaiting Approval"</formula>
    </cfRule>
    <cfRule type="expression" dxfId="300" priority="129">
      <formula>$P617="Awaiting Approval"</formula>
    </cfRule>
    <cfRule type="expression" dxfId="299" priority="130">
      <formula>$P620="Needs Proposal"</formula>
    </cfRule>
  </conditionalFormatting>
  <conditionalFormatting sqref="A607:M607 O607:T607">
    <cfRule type="expression" dxfId="298" priority="142">
      <formula>$P607="Approved Scheduled "</formula>
    </cfRule>
    <cfRule type="expression" dxfId="297" priority="141">
      <formula>$P607="Billed For incurred"</formula>
    </cfRule>
    <cfRule type="expression" dxfId="296" priority="140">
      <formula>$P607="Secured"</formula>
    </cfRule>
    <cfRule type="expression" dxfId="295" priority="139">
      <formula>$P607="Canceled No Incurred "</formula>
    </cfRule>
    <cfRule type="expression" dxfId="294" priority="138">
      <formula>$P607="Awaiting Advice"</formula>
    </cfRule>
    <cfRule type="expression" dxfId="293" priority="135">
      <formula>$P607="On Hold"</formula>
    </cfRule>
    <cfRule type="expression" dxfId="292" priority="132">
      <formula>$P603="Awaiting Approval"</formula>
    </cfRule>
    <cfRule type="expression" dxfId="291" priority="149">
      <formula>$P607="Awaiting Approval"</formula>
    </cfRule>
    <cfRule type="expression" dxfId="290" priority="148">
      <formula>$P607="Needs Proposal"</formula>
    </cfRule>
    <cfRule type="expression" dxfId="289" priority="147">
      <formula>$P607="Parts Needed"</formula>
    </cfRule>
    <cfRule type="expression" dxfId="288" priority="146">
      <formula>$P607="OnSite"</formula>
    </cfRule>
    <cfRule type="expression" dxfId="287" priority="145">
      <formula>$P607="Approved Not Scheduled"</formula>
    </cfRule>
    <cfRule type="expression" dxfId="286" priority="144">
      <formula>$P607="Job Done"</formula>
    </cfRule>
    <cfRule type="expression" dxfId="285" priority="143">
      <formula>$P607="Return Trip Needed"</formula>
    </cfRule>
  </conditionalFormatting>
  <conditionalFormatting sqref="A608:M608 O608:S608 A612:M613 O612:S613">
    <cfRule type="expression" dxfId="284" priority="85">
      <formula>$P617="Awaiting Approval"</formula>
    </cfRule>
  </conditionalFormatting>
  <conditionalFormatting sqref="A608:M608 O608:S608">
    <cfRule type="expression" dxfId="283" priority="81">
      <formula>$P616="Awaiting Approval"</formula>
    </cfRule>
    <cfRule type="expression" dxfId="282" priority="80">
      <formula>$P616="Needs Proposal"</formula>
    </cfRule>
    <cfRule type="expression" dxfId="281" priority="104">
      <formula>$P623="Needs Proposal"</formula>
    </cfRule>
    <cfRule type="expression" dxfId="280" priority="105">
      <formula>$P623="Awaiting Approval"</formula>
    </cfRule>
  </conditionalFormatting>
  <conditionalFormatting sqref="A608:M615 O608:S615">
    <cfRule type="expression" dxfId="279" priority="68">
      <formula>#REF!="Needs Proposal"</formula>
    </cfRule>
  </conditionalFormatting>
  <conditionalFormatting sqref="A608:M615 O608:T615">
    <cfRule type="expression" dxfId="278" priority="112">
      <formula>$P608="On Hold"</formula>
    </cfRule>
    <cfRule type="expression" dxfId="277" priority="126">
      <formula>$P608="Awaiting Approval"</formula>
    </cfRule>
    <cfRule type="expression" dxfId="276" priority="115">
      <formula>$P608="Awaiting Advice"</formula>
    </cfRule>
    <cfRule type="expression" dxfId="275" priority="116">
      <formula>$P608="Canceled No Incurred "</formula>
    </cfRule>
    <cfRule type="expression" dxfId="274" priority="117">
      <formula>$P608="Secured"</formula>
    </cfRule>
    <cfRule type="expression" dxfId="273" priority="118">
      <formula>$P608="Billed For incurred"</formula>
    </cfRule>
    <cfRule type="expression" dxfId="272" priority="119">
      <formula>$P608="Approved Scheduled "</formula>
    </cfRule>
    <cfRule type="expression" dxfId="271" priority="120">
      <formula>$P608="Return Trip Needed"</formula>
    </cfRule>
    <cfRule type="expression" dxfId="270" priority="121">
      <formula>$P608="Job Done"</formula>
    </cfRule>
    <cfRule type="expression" dxfId="269" priority="122">
      <formula>$P608="Approved Not Scheduled"</formula>
    </cfRule>
    <cfRule type="expression" dxfId="268" priority="123">
      <formula>$P608="OnSite"</formula>
    </cfRule>
    <cfRule type="expression" dxfId="267" priority="124">
      <formula>$P608="Parts Needed"</formula>
    </cfRule>
    <cfRule type="expression" dxfId="266" priority="125">
      <formula>$P608="Needs Proposal"</formula>
    </cfRule>
  </conditionalFormatting>
  <conditionalFormatting sqref="A609:M609 O609:S609 A611:M611 O611:S611">
    <cfRule type="expression" dxfId="265" priority="87">
      <formula>$P615="Awaiting Approval"</formula>
    </cfRule>
  </conditionalFormatting>
  <conditionalFormatting sqref="A609:M609 O609:S609">
    <cfRule type="expression" dxfId="264" priority="93">
      <formula>$P612="Awaiting Approval"</formula>
    </cfRule>
    <cfRule type="expression" dxfId="263" priority="92">
      <formula>$P612="Needs Proposal"</formula>
    </cfRule>
  </conditionalFormatting>
  <conditionalFormatting sqref="A609:M610 O609:S610">
    <cfRule type="expression" dxfId="262" priority="76">
      <formula>$P621="Needs Proposal"</formula>
    </cfRule>
    <cfRule type="expression" dxfId="261" priority="77">
      <formula>$P621="Awaiting Approval"</formula>
    </cfRule>
  </conditionalFormatting>
  <conditionalFormatting sqref="A610:M610 O610:S610 A612:M612 O612:S612">
    <cfRule type="expression" dxfId="260" priority="79">
      <formula>$P617="Awaiting Approval"</formula>
    </cfRule>
    <cfRule type="expression" dxfId="259" priority="78">
      <formula>$P617="Needs Proposal"</formula>
    </cfRule>
  </conditionalFormatting>
  <conditionalFormatting sqref="A610:M610 O610:S610">
    <cfRule type="expression" dxfId="258" priority="108">
      <formula>$P623="Needs Proposal"</formula>
    </cfRule>
    <cfRule type="expression" dxfId="257" priority="109">
      <formula>$P623="Awaiting Approval"</formula>
    </cfRule>
  </conditionalFormatting>
  <conditionalFormatting sqref="A610:M615 O610:S615">
    <cfRule type="expression" dxfId="256" priority="100">
      <formula>$P608="Needs Proposal"</formula>
    </cfRule>
    <cfRule type="expression" dxfId="255" priority="101">
      <formula>$P608="Awaiting Approval"</formula>
    </cfRule>
    <cfRule type="expression" dxfId="254" priority="103">
      <formula>$P609="Awaiting Approval"</formula>
    </cfRule>
    <cfRule type="expression" dxfId="253" priority="102">
      <formula>$P609="Needs Proposal"</formula>
    </cfRule>
  </conditionalFormatting>
  <conditionalFormatting sqref="A611:M611 O611:S611 A609:M609 O609:S609">
    <cfRule type="expression" dxfId="252" priority="86">
      <formula>$P615="Needs Proposal"</formula>
    </cfRule>
  </conditionalFormatting>
  <conditionalFormatting sqref="A611:M611 O611:S611">
    <cfRule type="expression" dxfId="251" priority="90">
      <formula>$P613="Needs Proposal"</formula>
    </cfRule>
    <cfRule type="expression" dxfId="250" priority="91">
      <formula>$P613="Awaiting Approval"</formula>
    </cfRule>
  </conditionalFormatting>
  <conditionalFormatting sqref="A611:M612 O611:S612">
    <cfRule type="expression" dxfId="249" priority="82">
      <formula>$P621="Needs Proposal"</formula>
    </cfRule>
    <cfRule type="expression" dxfId="248" priority="83">
      <formula>$P621="Awaiting Approval"</formula>
    </cfRule>
  </conditionalFormatting>
  <conditionalFormatting sqref="A611:M615 O611:S615">
    <cfRule type="expression" dxfId="247" priority="74">
      <formula>$P624="Needs Proposal"</formula>
    </cfRule>
    <cfRule type="expression" dxfId="246" priority="75">
      <formula>$P624="Awaiting Approval"</formula>
    </cfRule>
    <cfRule type="expression" dxfId="245" priority="110">
      <formula>#REF!="Needs Proposal"</formula>
    </cfRule>
    <cfRule type="expression" dxfId="244" priority="111">
      <formula>#REF!="Awaiting Approval"</formula>
    </cfRule>
    <cfRule type="expression" dxfId="243" priority="98">
      <formula>$P607="Awaiting Approval"</formula>
    </cfRule>
    <cfRule type="expression" dxfId="242" priority="97">
      <formula>$P607="Needs Proposal"</formula>
    </cfRule>
  </conditionalFormatting>
  <conditionalFormatting sqref="A612:M612 O612:S612">
    <cfRule type="expression" dxfId="241" priority="65">
      <formula>$P605="Needs Proposal"</formula>
    </cfRule>
  </conditionalFormatting>
  <conditionalFormatting sqref="A612:M612 O612:T612">
    <cfRule type="expression" dxfId="240" priority="66">
      <formula>$P605="Awaiting Approval"</formula>
    </cfRule>
  </conditionalFormatting>
  <conditionalFormatting sqref="A612:M613 O612:S613 A608:M608 O608:S608">
    <cfRule type="expression" dxfId="239" priority="84">
      <formula>$P617="Needs Proposal"</formula>
    </cfRule>
  </conditionalFormatting>
  <conditionalFormatting sqref="A613:M615 O613:S615">
    <cfRule type="expression" dxfId="238" priority="73">
      <formula>$P624="Awaiting Approval"</formula>
    </cfRule>
    <cfRule type="expression" dxfId="237" priority="72">
      <formula>$P624="Needs Proposal"</formula>
    </cfRule>
    <cfRule type="expression" dxfId="236" priority="94">
      <formula>$P607="Needs Proposal"</formula>
    </cfRule>
    <cfRule type="expression" dxfId="235" priority="99">
      <formula>$P607="Awaiting Approval"</formula>
    </cfRule>
  </conditionalFormatting>
  <conditionalFormatting sqref="A614:M615 O614:S615">
    <cfRule type="expression" dxfId="234" priority="96">
      <formula>$P611="Awaiting Approval"</formula>
    </cfRule>
    <cfRule type="expression" dxfId="233" priority="71">
      <formula>$P624="Awaiting Approval"</formula>
    </cfRule>
    <cfRule type="expression" dxfId="232" priority="70">
      <formula>$P624="Needs Proposal"</formula>
    </cfRule>
    <cfRule type="expression" dxfId="231" priority="95">
      <formula>$P611="Needs Proposal"</formula>
    </cfRule>
  </conditionalFormatting>
  <conditionalFormatting sqref="A615:M615 O615:S615">
    <cfRule type="expression" dxfId="230" priority="106">
      <formula>$P606="Needs Proposal"</formula>
    </cfRule>
    <cfRule type="expression" dxfId="229" priority="88">
      <formula>$P614="Needs Proposal"</formula>
    </cfRule>
    <cfRule type="expression" dxfId="228" priority="89">
      <formula>$P614="Awaiting Approval"</formula>
    </cfRule>
  </conditionalFormatting>
  <conditionalFormatting sqref="A615:M615 O615:T615">
    <cfRule type="expression" dxfId="227" priority="107">
      <formula>$P606="Awaiting Approval"</formula>
    </cfRule>
  </conditionalFormatting>
  <conditionalFormatting sqref="A616:M616 O616:S616">
    <cfRule type="expression" dxfId="226" priority="40">
      <formula>#REF!="Awaiting Approval"</formula>
    </cfRule>
    <cfRule type="expression" dxfId="225" priority="42">
      <formula>$P615="Awaiting Approval"</formula>
    </cfRule>
    <cfRule type="expression" dxfId="224" priority="43">
      <formula>$P629="Needs Proposal"</formula>
    </cfRule>
    <cfRule type="expression" dxfId="223" priority="45">
      <formula>#REF!="Needs Proposal"</formula>
    </cfRule>
    <cfRule type="expression" dxfId="222" priority="46">
      <formula>#REF!="Awaiting Approval"</formula>
    </cfRule>
    <cfRule type="expression" dxfId="221" priority="47">
      <formula>$P614="Needs Proposal"</formula>
    </cfRule>
    <cfRule type="expression" dxfId="220" priority="48">
      <formula>$P615="Needs Proposal"</formula>
    </cfRule>
    <cfRule type="expression" dxfId="219" priority="49">
      <formula>$P615="Awaiting Approval"</formula>
    </cfRule>
    <cfRule type="expression" dxfId="218" priority="38">
      <formula>#REF!="Awaiting Approval"</formula>
    </cfRule>
    <cfRule type="expression" dxfId="217" priority="37">
      <formula>#REF!="Needs Proposal"</formula>
    </cfRule>
    <cfRule type="expression" dxfId="216" priority="44">
      <formula>$P629="Awaiting Approval"</formula>
    </cfRule>
    <cfRule type="expression" dxfId="215" priority="31">
      <formula>$P627="Needs Proposal"</formula>
    </cfRule>
    <cfRule type="expression" dxfId="214" priority="32">
      <formula>$P627="Awaiting Approval"</formula>
    </cfRule>
    <cfRule type="expression" dxfId="213" priority="33">
      <formula>$P611="Needs Proposal"</formula>
    </cfRule>
    <cfRule type="expression" dxfId="212" priority="34">
      <formula>$P611="Awaiting Approval"</formula>
    </cfRule>
    <cfRule type="expression" dxfId="211" priority="35">
      <formula>$P626="Needs Proposal"</formula>
    </cfRule>
    <cfRule type="expression" dxfId="210" priority="36">
      <formula>$P626="Awaiting Approval"</formula>
    </cfRule>
    <cfRule type="expression" dxfId="209" priority="39">
      <formula>#REF!="Needs Proposal"</formula>
    </cfRule>
  </conditionalFormatting>
  <conditionalFormatting sqref="A616:M616 O616:T616">
    <cfRule type="expression" dxfId="208" priority="62">
      <formula>$P616="Parts Needed"</formula>
    </cfRule>
    <cfRule type="expression" dxfId="207" priority="50">
      <formula>$P616="On Hold"</formula>
    </cfRule>
    <cfRule type="expression" dxfId="206" priority="30">
      <formula>$P616="Revised Quote Needed"</formula>
    </cfRule>
    <cfRule type="expression" dxfId="205" priority="61">
      <formula>$P616="OnSite"</formula>
    </cfRule>
    <cfRule type="expression" dxfId="204" priority="55">
      <formula>$P616="Secured"</formula>
    </cfRule>
    <cfRule type="expression" dxfId="203" priority="64">
      <formula>$P616="Awaiting Approval"</formula>
    </cfRule>
    <cfRule type="expression" dxfId="202" priority="41">
      <formula>$P614="Awaiting Approval"</formula>
    </cfRule>
    <cfRule type="expression" dxfId="201" priority="63">
      <formula>$P616="Needs Proposal"</formula>
    </cfRule>
    <cfRule type="expression" dxfId="200" priority="60">
      <formula>$P616="Approved Not Scheduled"</formula>
    </cfRule>
    <cfRule type="expression" dxfId="199" priority="59">
      <formula>$P616="Job Done"</formula>
    </cfRule>
    <cfRule type="expression" dxfId="198" priority="58">
      <formula>$P616="Return Trip Needed"</formula>
    </cfRule>
    <cfRule type="expression" dxfId="197" priority="57">
      <formula>$P616="Approved Scheduled "</formula>
    </cfRule>
    <cfRule type="expression" dxfId="196" priority="56">
      <formula>$P616="Billed For incurred"</formula>
    </cfRule>
    <cfRule type="expression" dxfId="195" priority="54">
      <formula>$P616="Canceled No Incurred "</formula>
    </cfRule>
    <cfRule type="expression" dxfId="194" priority="53">
      <formula>$P616="Awaiting Advice"</formula>
    </cfRule>
  </conditionalFormatting>
  <conditionalFormatting sqref="A525:S525">
    <cfRule type="expression" dxfId="193" priority="636">
      <formula>$P525="Secured"</formula>
    </cfRule>
    <cfRule type="expression" dxfId="192" priority="637">
      <formula>$P525="Billed For incurred"</formula>
    </cfRule>
    <cfRule type="expression" dxfId="191" priority="638">
      <formula>$P525="Approved Scheduled "</formula>
    </cfRule>
    <cfRule type="expression" dxfId="190" priority="639">
      <formula>$P525="Return Trip Needed"</formula>
    </cfRule>
    <cfRule type="expression" dxfId="189" priority="641">
      <formula>$P525="Approved Not Scheduled"</formula>
    </cfRule>
    <cfRule type="expression" dxfId="188" priority="642">
      <formula>$P525="OnSite"</formula>
    </cfRule>
    <cfRule type="expression" dxfId="187" priority="643">
      <formula>$P525="Parts Needed"</formula>
    </cfRule>
    <cfRule type="expression" dxfId="186" priority="644">
      <formula>$P525="Needs Proposal"</formula>
    </cfRule>
    <cfRule type="expression" dxfId="185" priority="645">
      <formula>$P525="Awaiting Approval"</formula>
    </cfRule>
  </conditionalFormatting>
  <conditionalFormatting sqref="A526:S528">
    <cfRule type="expression" dxfId="184" priority="590">
      <formula>$P526="Canceled No Incurred "</formula>
    </cfRule>
    <cfRule type="expression" dxfId="183" priority="593">
      <formula>$P526="Approved Scheduled "</formula>
    </cfRule>
    <cfRule type="expression" dxfId="182" priority="594">
      <formula>$P526="Return Trip Needed"</formula>
    </cfRule>
    <cfRule type="expression" dxfId="181" priority="599">
      <formula>$P526="Needs Proposal"</formula>
    </cfRule>
    <cfRule type="expression" dxfId="180" priority="595">
      <formula>$P526="Job Done"</formula>
    </cfRule>
    <cfRule type="expression" dxfId="179" priority="596">
      <formula>$P526="Approved Not Scheduled"</formula>
    </cfRule>
    <cfRule type="expression" dxfId="178" priority="597">
      <formula>$P526="OnSite"</formula>
    </cfRule>
    <cfRule type="expression" dxfId="177" priority="600">
      <formula>$P526="Awaiting Approval"</formula>
    </cfRule>
    <cfRule type="expression" dxfId="176" priority="589">
      <formula>$P526="Awaiting Advice"</formula>
    </cfRule>
    <cfRule type="expression" dxfId="175" priority="592">
      <formula>$P526="Billed For incurred"</formula>
    </cfRule>
    <cfRule type="expression" dxfId="174" priority="591">
      <formula>$P526="Secured"</formula>
    </cfRule>
    <cfRule type="expression" dxfId="173" priority="598">
      <formula>$P526="Parts Needed"</formula>
    </cfRule>
  </conditionalFormatting>
  <conditionalFormatting sqref="A530:S530">
    <cfRule type="expression" dxfId="172" priority="560">
      <formula>$P530="Secured"</formula>
    </cfRule>
    <cfRule type="expression" dxfId="171" priority="559">
      <formula>$P530="Canceled No Incurred "</formula>
    </cfRule>
    <cfRule type="expression" dxfId="170" priority="565">
      <formula>$P530="Approved Not Scheduled"</formula>
    </cfRule>
    <cfRule type="expression" dxfId="169" priority="569">
      <formula>$P530="Awaiting Approval"</formula>
    </cfRule>
    <cfRule type="expression" dxfId="168" priority="568">
      <formula>$P530="Needs Proposal"</formula>
    </cfRule>
    <cfRule type="expression" dxfId="167" priority="567">
      <formula>$P530="Parts Needed"</formula>
    </cfRule>
    <cfRule type="expression" dxfId="166" priority="566">
      <formula>$P530="OnSite"</formula>
    </cfRule>
    <cfRule type="expression" dxfId="165" priority="558">
      <formula>$P530="Awaiting Advice"</formula>
    </cfRule>
    <cfRule type="expression" dxfId="164" priority="564">
      <formula>$P530="Job Done"</formula>
    </cfRule>
    <cfRule type="expression" dxfId="163" priority="563">
      <formula>$P530="Return Trip Needed"</formula>
    </cfRule>
    <cfRule type="expression" dxfId="162" priority="562">
      <formula>$P530="Approved Scheduled "</formula>
    </cfRule>
    <cfRule type="expression" dxfId="161" priority="561">
      <formula>$P530="Billed For incurred"</formula>
    </cfRule>
  </conditionalFormatting>
  <conditionalFormatting sqref="A2:T524 A619:T997">
    <cfRule type="expression" dxfId="160" priority="651">
      <formula>$P2="Billed For Incurred"</formula>
    </cfRule>
    <cfRule type="expression" dxfId="159" priority="652">
      <formula>$P2="Canceled No Incurred "</formula>
    </cfRule>
    <cfRule type="expression" dxfId="158" priority="653">
      <formula>$P2="Job Done"</formula>
    </cfRule>
  </conditionalFormatting>
  <conditionalFormatting sqref="A2:T531 A619:T1000">
    <cfRule type="expression" dxfId="157" priority="635">
      <formula>$P2="Canceled No Incurred "</formula>
    </cfRule>
    <cfRule type="expression" dxfId="156" priority="634">
      <formula>$P2="Awaiting Advice"</formula>
    </cfRule>
  </conditionalFormatting>
  <conditionalFormatting sqref="A507:T507">
    <cfRule type="expression" dxfId="155" priority="649">
      <formula>$P507="Canceled No Incurred "</formula>
    </cfRule>
  </conditionalFormatting>
  <conditionalFormatting sqref="A525:T525">
    <cfRule type="expression" dxfId="154" priority="640">
      <formula>$P525="Job Done"</formula>
    </cfRule>
  </conditionalFormatting>
  <conditionalFormatting sqref="A529:T529">
    <cfRule type="expression" dxfId="153" priority="585">
      <formula>$P529="Needs Proposal"</formula>
    </cfRule>
    <cfRule type="expression" dxfId="152" priority="584">
      <formula>$P529="OnSite"</formula>
    </cfRule>
    <cfRule type="expression" dxfId="151" priority="582">
      <formula>$P529="Return Trip Needed"</formula>
    </cfRule>
    <cfRule type="expression" dxfId="150" priority="581">
      <formula>$P529="Awaiting Approval"</formula>
    </cfRule>
    <cfRule type="expression" dxfId="149" priority="580">
      <formula>$P529="Approved Not Scheduled"</formula>
    </cfRule>
    <cfRule type="expression" dxfId="148" priority="579">
      <formula>$P529="Approved Scheduled "</formula>
    </cfRule>
    <cfRule type="expression" dxfId="147" priority="578">
      <formula>$P529="Parts Needed"</formula>
    </cfRule>
    <cfRule type="expression" dxfId="146" priority="577">
      <formula>$P529="Awaiting Advice"</formula>
    </cfRule>
    <cfRule type="expression" dxfId="145" priority="583">
      <formula>$P529="Secured"</formula>
    </cfRule>
    <cfRule type="expression" dxfId="144" priority="576">
      <formula>$P529="Job Done"</formula>
    </cfRule>
    <cfRule type="expression" dxfId="143" priority="575">
      <formula>$P529="Billed For Incurred"</formula>
    </cfRule>
    <cfRule type="expression" dxfId="142" priority="574">
      <formula>$P529="Canceled No Incurred "</formula>
    </cfRule>
    <cfRule type="expression" dxfId="141" priority="570">
      <formula>$P529="Revised Quote Needed"</formula>
    </cfRule>
  </conditionalFormatting>
  <conditionalFormatting sqref="A531:T531">
    <cfRule type="expression" dxfId="140" priority="539">
      <formula>$P531="Revised Quote Needed"</formula>
    </cfRule>
    <cfRule type="expression" dxfId="139" priority="543">
      <formula>$P531="Awaiting Advice"</formula>
    </cfRule>
    <cfRule type="expression" dxfId="138" priority="554">
      <formula>$P531="Awaiting Approval"</formula>
    </cfRule>
    <cfRule type="expression" dxfId="137" priority="553">
      <formula>$P531="Needs Proposal"</formula>
    </cfRule>
    <cfRule type="expression" dxfId="136" priority="552">
      <formula>$P531="Parts Needed"</formula>
    </cfRule>
    <cfRule type="expression" dxfId="135" priority="544">
      <formula>$P531="Canceled No Incurred "</formula>
    </cfRule>
    <cfRule type="expression" dxfId="134" priority="545">
      <formula>$P531="Secured"</formula>
    </cfRule>
    <cfRule type="expression" dxfId="133" priority="546">
      <formula>$P531="Billed For incurred"</formula>
    </cfRule>
    <cfRule type="expression" dxfId="132" priority="547">
      <formula>$P531="Approved Scheduled "</formula>
    </cfRule>
    <cfRule type="expression" dxfId="131" priority="548">
      <formula>$P531="Return Trip Needed"</formula>
    </cfRule>
    <cfRule type="expression" dxfId="130" priority="549">
      <formula>$P531="Job Done"</formula>
    </cfRule>
    <cfRule type="expression" dxfId="129" priority="551">
      <formula>$P531="OnSite"</formula>
    </cfRule>
    <cfRule type="expression" dxfId="128" priority="550">
      <formula>$P531="Approved Not Scheduled"</formula>
    </cfRule>
  </conditionalFormatting>
  <conditionalFormatting sqref="A532:T564">
    <cfRule type="expression" dxfId="127" priority="415">
      <formula>$P532="Approved Not Scheduled"</formula>
    </cfRule>
    <cfRule type="expression" dxfId="126" priority="408">
      <formula>$P532="Awaiting Advice"</formula>
    </cfRule>
    <cfRule type="expression" dxfId="125" priority="419">
      <formula>$P532="Awaiting Approval"</formula>
    </cfRule>
    <cfRule type="expression" dxfId="124" priority="418">
      <formula>$P532="Needs Proposal"</formula>
    </cfRule>
    <cfRule type="expression" dxfId="123" priority="417">
      <formula>$P532="Parts Needed"</formula>
    </cfRule>
    <cfRule type="expression" dxfId="122" priority="416">
      <formula>$P532="OnSite"</formula>
    </cfRule>
    <cfRule type="expression" dxfId="121" priority="414">
      <formula>$P532="Job Done"</formula>
    </cfRule>
    <cfRule type="expression" dxfId="120" priority="413">
      <formula>$P532="Return Trip Needed"</formula>
    </cfRule>
    <cfRule type="expression" dxfId="119" priority="412">
      <formula>$P532="Approved Scheduled "</formula>
    </cfRule>
    <cfRule type="expression" dxfId="118" priority="411">
      <formula>$P532="Billed For incurred"</formula>
    </cfRule>
    <cfRule type="expression" dxfId="117" priority="410">
      <formula>$P532="Secured"</formula>
    </cfRule>
    <cfRule type="expression" dxfId="116" priority="409">
      <formula>$P532="Canceled No Incurred "</formula>
    </cfRule>
    <cfRule type="expression" dxfId="115" priority="404">
      <formula>$P532="Parts Needed"</formula>
    </cfRule>
    <cfRule type="expression" dxfId="114" priority="403">
      <formula>$P532="Revised Quote Needed"</formula>
    </cfRule>
  </conditionalFormatting>
  <conditionalFormatting sqref="A565:T571">
    <cfRule type="expression" dxfId="113" priority="385">
      <formula>$P565="OnSite"</formula>
    </cfRule>
    <cfRule type="expression" dxfId="112" priority="379">
      <formula>$P565="Secured"</formula>
    </cfRule>
    <cfRule type="expression" dxfId="111" priority="378">
      <formula>$P565="Canceled No Incurred "</formula>
    </cfRule>
    <cfRule type="expression" dxfId="110" priority="373">
      <formula>$P565="Parts Needed"</formula>
    </cfRule>
    <cfRule type="expression" dxfId="109" priority="372">
      <formula>$P565="Revised Quote Needed"</formula>
    </cfRule>
    <cfRule type="expression" dxfId="108" priority="388">
      <formula>$P565="Awaiting Approval"</formula>
    </cfRule>
    <cfRule type="expression" dxfId="107" priority="387">
      <formula>$P565="Needs Proposal"</formula>
    </cfRule>
    <cfRule type="expression" dxfId="106" priority="386">
      <formula>$P565="Parts Needed"</formula>
    </cfRule>
    <cfRule type="expression" dxfId="105" priority="377">
      <formula>$P565="Awaiting Advice"</formula>
    </cfRule>
    <cfRule type="expression" dxfId="104" priority="384">
      <formula>$P565="Approved Not Scheduled"</formula>
    </cfRule>
    <cfRule type="expression" dxfId="103" priority="383">
      <formula>$P565="Job Done"</formula>
    </cfRule>
    <cfRule type="expression" dxfId="102" priority="382">
      <formula>$P565="Return Trip Needed"</formula>
    </cfRule>
    <cfRule type="expression" dxfId="101" priority="381">
      <formula>$P565="Approved Scheduled "</formula>
    </cfRule>
    <cfRule type="expression" dxfId="100" priority="380">
      <formula>$P565="Billed For incurred"</formula>
    </cfRule>
  </conditionalFormatting>
  <conditionalFormatting sqref="A572:T600 N601:N616">
    <cfRule type="expression" dxfId="99" priority="202">
      <formula>$P572="Job Done"</formula>
    </cfRule>
    <cfRule type="expression" dxfId="98" priority="201">
      <formula>$P572="Return Trip Needed"</formula>
    </cfRule>
    <cfRule type="expression" dxfId="97" priority="200">
      <formula>$P572="Approved Scheduled "</formula>
    </cfRule>
    <cfRule type="expression" dxfId="96" priority="198">
      <formula>$P572="Secured"</formula>
    </cfRule>
    <cfRule type="expression" dxfId="95" priority="197">
      <formula>$P572="Canceled No Incurred "</formula>
    </cfRule>
    <cfRule type="expression" dxfId="94" priority="199">
      <formula>$P572="Billed For incurred"</formula>
    </cfRule>
    <cfRule type="expression" dxfId="93" priority="196">
      <formula>$P572="Awaiting Advice"</formula>
    </cfRule>
    <cfRule type="expression" dxfId="92" priority="192">
      <formula>$P572="Parts Needed"</formula>
    </cfRule>
    <cfRule type="expression" dxfId="91" priority="207">
      <formula>$P572="Awaiting Approval"</formula>
    </cfRule>
    <cfRule type="expression" dxfId="90" priority="206">
      <formula>$P572="Needs Proposal"</formula>
    </cfRule>
    <cfRule type="expression" dxfId="89" priority="204">
      <formula>$P572="OnSite"</formula>
    </cfRule>
    <cfRule type="expression" dxfId="88" priority="191">
      <formula>$P572="Revised Quote Needed"</formula>
    </cfRule>
    <cfRule type="expression" dxfId="87" priority="205">
      <formula>$P572="Parts Needed"</formula>
    </cfRule>
    <cfRule type="expression" dxfId="86" priority="203">
      <formula>$P572="Approved Not Scheduled"</formula>
    </cfRule>
  </conditionalFormatting>
  <conditionalFormatting sqref="A617:T617">
    <cfRule type="expression" dxfId="85" priority="23">
      <formula>$P617="Return Trip Needed"</formula>
    </cfRule>
    <cfRule type="expression" dxfId="84" priority="22">
      <formula>$P617="Approved Scheduled "</formula>
    </cfRule>
    <cfRule type="expression" dxfId="83" priority="21">
      <formula>$P617="Billed For incurred"</formula>
    </cfRule>
    <cfRule type="expression" dxfId="82" priority="20">
      <formula>$P617="Secured"</formula>
    </cfRule>
    <cfRule type="expression" dxfId="81" priority="19">
      <formula>$P617="Canceled No Incurred "</formula>
    </cfRule>
    <cfRule type="expression" dxfId="80" priority="24">
      <formula>$P617="Job Done"</formula>
    </cfRule>
    <cfRule type="expression" dxfId="79" priority="28">
      <formula>$P617="Needs Proposal"</formula>
    </cfRule>
    <cfRule type="expression" dxfId="78" priority="18">
      <formula>$P617="Awaiting Advice"</formula>
    </cfRule>
    <cfRule type="expression" dxfId="77" priority="29">
      <formula>$P617="Awaiting Approval"</formula>
    </cfRule>
    <cfRule type="expression" dxfId="76" priority="25">
      <formula>$P617="Approved Not Scheduled"</formula>
    </cfRule>
    <cfRule type="expression" dxfId="75" priority="26">
      <formula>$P617="OnSite"</formula>
    </cfRule>
    <cfRule type="expression" dxfId="74" priority="27">
      <formula>$P617="Parts Needed"</formula>
    </cfRule>
  </conditionalFormatting>
  <conditionalFormatting sqref="A617:T618">
    <cfRule type="expression" dxfId="73" priority="1">
      <formula>$P617="Revised Quote Needed"</formula>
    </cfRule>
  </conditionalFormatting>
  <conditionalFormatting sqref="A618:T618">
    <cfRule type="expression" dxfId="72" priority="13">
      <formula>$P618="Awaiting Approval"</formula>
    </cfRule>
    <cfRule type="expression" dxfId="71" priority="12">
      <formula>$P618="Needs Proposal"</formula>
    </cfRule>
    <cfRule type="expression" dxfId="70" priority="11">
      <formula>$P618="Parts Needed"</formula>
    </cfRule>
    <cfRule type="expression" dxfId="69" priority="9">
      <formula>$P618="Approved Not Scheduled"</formula>
    </cfRule>
    <cfRule type="expression" dxfId="68" priority="8">
      <formula>$P618="Job Done"</formula>
    </cfRule>
    <cfRule type="expression" dxfId="67" priority="3">
      <formula>$P618="Canceled No Incurred "</formula>
    </cfRule>
    <cfRule type="expression" dxfId="66" priority="10">
      <formula>$P618="OnSite"</formula>
    </cfRule>
    <cfRule type="expression" dxfId="65" priority="4">
      <formula>$P618="Secured"</formula>
    </cfRule>
    <cfRule type="expression" dxfId="64" priority="5">
      <formula>$P618="Billed For incurred"</formula>
    </cfRule>
    <cfRule type="expression" dxfId="63" priority="6">
      <formula>$P618="Approved Scheduled "</formula>
    </cfRule>
    <cfRule type="expression" dxfId="62" priority="7">
      <formula>$P618="Return Trip Needed"</formula>
    </cfRule>
    <cfRule type="expression" dxfId="61" priority="2">
      <formula>$P618="Awaiting Advice"</formula>
    </cfRule>
  </conditionalFormatting>
  <conditionalFormatting sqref="B2:B524 B619:B3000">
    <cfRule type="expression" dxfId="60" priority="647">
      <formula>ISNUMBER(SEARCH("reassigned", $R2))</formula>
    </cfRule>
  </conditionalFormatting>
  <conditionalFormatting sqref="B525:B529">
    <cfRule type="expression" dxfId="59" priority="572">
      <formula>ISNUMBER(SEARCH("reassigned", $R525))</formula>
    </cfRule>
  </conditionalFormatting>
  <conditionalFormatting sqref="B530:B531">
    <cfRule type="expression" dxfId="58" priority="542">
      <formula>ISNUMBER(SEARCH("reassigned", $R530))</formula>
    </cfRule>
  </conditionalFormatting>
  <conditionalFormatting sqref="B532:B564">
    <cfRule type="expression" dxfId="57" priority="407">
      <formula>ISNUMBER(SEARCH("reassigned", $R532))</formula>
    </cfRule>
  </conditionalFormatting>
  <conditionalFormatting sqref="B565:B571">
    <cfRule type="expression" dxfId="56" priority="376">
      <formula>ISNUMBER(SEARCH("reassigned", $R565))</formula>
    </cfRule>
  </conditionalFormatting>
  <conditionalFormatting sqref="B572:B600">
    <cfRule type="expression" dxfId="55" priority="195">
      <formula>ISNUMBER(SEARCH("reassigned", $R572))</formula>
    </cfRule>
  </conditionalFormatting>
  <conditionalFormatting sqref="B601:B604">
    <cfRule type="expression" dxfId="54" priority="178">
      <formula>ISNUMBER(SEARCH("reassigned", $R601))</formula>
    </cfRule>
  </conditionalFormatting>
  <conditionalFormatting sqref="B605:B606">
    <cfRule type="expression" dxfId="53" priority="156">
      <formula>ISNUMBER(SEARCH("reassigned", $R605))</formula>
    </cfRule>
  </conditionalFormatting>
  <conditionalFormatting sqref="B607">
    <cfRule type="expression" dxfId="52" priority="137">
      <formula>ISNUMBER(SEARCH("reassigned", $R607))</formula>
    </cfRule>
  </conditionalFormatting>
  <conditionalFormatting sqref="B608:B615">
    <cfRule type="expression" dxfId="51" priority="114">
      <formula>ISNUMBER(SEARCH("reassigned", $R608))</formula>
    </cfRule>
  </conditionalFormatting>
  <conditionalFormatting sqref="B616">
    <cfRule type="expression" dxfId="50" priority="52">
      <formula>ISNUMBER(SEARCH("reassigned", $R616))</formula>
    </cfRule>
  </conditionalFormatting>
  <conditionalFormatting sqref="B617">
    <cfRule type="expression" dxfId="49" priority="17">
      <formula>ISNUMBER(SEARCH("reassigned", $R617))</formula>
    </cfRule>
  </conditionalFormatting>
  <conditionalFormatting sqref="O608:T611 A608:M615 O612:S612 O613:T614 O615:S615">
    <cfRule type="expression" dxfId="48" priority="69">
      <formula>#REF!="Awaiting Approval"</formula>
    </cfRule>
  </conditionalFormatting>
  <conditionalFormatting sqref="Q2:Q524 Q619:Q2000">
    <cfRule type="expression" dxfId="47" priority="646">
      <formula>AND(P2="awaiting approval", Q2&lt;TODAY()-30)</formula>
    </cfRule>
  </conditionalFormatting>
  <conditionalFormatting sqref="Q525:Q529">
    <cfRule type="expression" dxfId="46" priority="571">
      <formula>AND(P525="awaiting approval", Q525&lt;TODAY()-30)</formula>
    </cfRule>
  </conditionalFormatting>
  <conditionalFormatting sqref="Q530:Q531">
    <cfRule type="expression" dxfId="45" priority="540">
      <formula>AND(P530="awaiting approval", Q530&lt;TODAY()-30)</formula>
    </cfRule>
  </conditionalFormatting>
  <conditionalFormatting sqref="Q532:Q564">
    <cfRule type="expression" dxfId="44" priority="405">
      <formula>AND(P532="awaiting approval", Q532&lt;TODAY()-30)</formula>
    </cfRule>
  </conditionalFormatting>
  <conditionalFormatting sqref="Q565:Q571">
    <cfRule type="expression" dxfId="43" priority="374">
      <formula>AND(P565="awaiting approval", Q565&lt;TODAY()-30)</formula>
    </cfRule>
  </conditionalFormatting>
  <conditionalFormatting sqref="Q572:Q600">
    <cfRule type="expression" dxfId="42" priority="193">
      <formula>AND(P572="awaiting approval", Q572&lt;TODAY()-30)</formula>
    </cfRule>
  </conditionalFormatting>
  <conditionalFormatting sqref="Q601:Q604">
    <cfRule type="expression" dxfId="41" priority="176">
      <formula>AND(P601="awaiting approval", Q601&lt;TODAY()-30)</formula>
    </cfRule>
  </conditionalFormatting>
  <conditionalFormatting sqref="Q605:Q606">
    <cfRule type="expression" dxfId="40" priority="155">
      <formula>AND(P605="awaiting approval", Q605&lt;TODAY()-30)</formula>
    </cfRule>
  </conditionalFormatting>
  <conditionalFormatting sqref="Q607">
    <cfRule type="expression" dxfId="39" priority="136">
      <formula>AND(P607="awaiting approval", Q607&lt;TODAY()-30)</formula>
    </cfRule>
  </conditionalFormatting>
  <conditionalFormatting sqref="Q608:Q615">
    <cfRule type="expression" dxfId="38" priority="113">
      <formula>AND(P608="awaiting approval", Q608&lt;TODAY()-30)</formula>
    </cfRule>
  </conditionalFormatting>
  <conditionalFormatting sqref="Q616">
    <cfRule type="expression" dxfId="37" priority="51">
      <formula>AND(P616="awaiting approval", Q616&lt;TODAY()-30)</formula>
    </cfRule>
  </conditionalFormatting>
  <conditionalFormatting sqref="Q617">
    <cfRule type="expression" dxfId="36" priority="15">
      <formula>AND(P617="awaiting approval", Q617&lt;TODAY()-30)</formula>
    </cfRule>
  </conditionalFormatting>
  <dataValidations count="15">
    <dataValidation type="list" allowBlank="1" showInputMessage="1" showErrorMessage="1" sqref="B1:B424 B619:B1048576" xr:uid="{91A8983D-A59F-4381-A9DF-3022C091B8C0}">
      <formula1>"Ryan Cole,David Smith,Jordan Evans,Lea James,Jerry Collins,Kyle Morgan ,Maxwell Cruz,Mitch Carr,Justin Walter,James Baker,Daniel Frost,Alex Wilson,Max Reed,Romeo,Patrick Carter"</formula1>
    </dataValidation>
    <dataValidation type="list" allowBlank="1" showInputMessage="1" showErrorMessage="1" sqref="F1:F424 F619:F1048576" xr:uid="{D4FF6554-D530-4800-845B-F48A1E8064BF}">
      <formula1>"Handyman,Electrical,HVAC,Plumber,Door Vendor,Locksmith,Appliances,Landscaping,General Contractor,Flooring,Glass Vendor, Insulation Company,Mechanical"</formula1>
    </dataValidation>
    <dataValidation type="list" allowBlank="1" showInputMessage="1" showErrorMessage="1" sqref="F425:F428 F506:F517 F519:F528 F530:F531 F617:F618" xr:uid="{1CAE95C5-DF34-4FE6-8BBB-296E6D880729}">
      <formula1>"Handyman,Electrical,HVAC,Plumber,Door Vendor,Locksmith,Appliances"</formula1>
    </dataValidation>
    <dataValidation type="list" allowBlank="1" showInputMessage="1" showErrorMessage="1" sqref="B425:B517 B519:B524 B529 B601:B604 B606:B616 B618" xr:uid="{3A9579CC-1E62-46CA-8F19-0D0A82D755AF}">
      <formula1>"Ryan Cole,David Smith,Jordan Evans,Lea James,Jerry Collins,Kyle Morgan ,Maxwell Cruz,Mitch Carr,Justin Walter "</formula1>
    </dataValidation>
    <dataValidation type="list" allowBlank="1" showInputMessage="1" showErrorMessage="1" sqref="J1:J517 J519:J552 J554:J604 J606:J618" xr:uid="{82DCAEBF-8963-4391-9AD5-7D2A1B392EF6}">
      <formula1>"AL, AK, AZ, AR, CA, CO, CT, DE, FL, GA, HI, ID, IL, IN, IA, KS, KY, LA, ME, MD, MA, MI, MN, MS, MO, MT, NE, NV, NH, NJ, NM, NY, NC, ND, OH, OK, OR, PA, RI, SC, SD, TN, TX, UT, VT, VA, WA, WV, WI, WY"</formula1>
    </dataValidation>
    <dataValidation type="list" allowBlank="1" showInputMessage="1" showErrorMessage="1" sqref="F429:F505" xr:uid="{9F916E4E-88DA-4A2C-B2EE-FF254AC2B8BE}">
      <formula1>"Handyman,Electrical,HVAC,Plumber,Door Vendor,Locksmith,Appliances,Landscaping, General Contractor"</formula1>
    </dataValidation>
    <dataValidation type="list" allowBlank="1" showInputMessage="1" showErrorMessage="1" sqref="P1:P528 P530 P619:P1048576" xr:uid="{A7B66323-E6F8-420A-9018-F81C275D61D9}">
      <formula1>"Assigned,Secured,OnSite,Return Trip Needed, Needs Proposal,Awaiting Approval,Approved Not Scheduled,Approved Scheduled ,Parts Needed,Awaiting Advice, Job Done, Billed For incurred,Canceled No Incurred "</formula1>
    </dataValidation>
    <dataValidation type="list" allowBlank="1" showInputMessage="1" showErrorMessage="1" sqref="B525:B528 B530:B531 B617" xr:uid="{DC06A244-9846-484B-9398-59199D66E66C}">
      <formula1>"Ryan Cole,David Smith,Jordan Evans,Lea James,Jerry Collins,Kyle Morgan ,Maxwell Cruz,Mitch Carr,Justin Walter,Christopher Martin, Eric Green"</formula1>
    </dataValidation>
    <dataValidation type="list" allowBlank="1" showInputMessage="1" showErrorMessage="1" sqref="F529" xr:uid="{E7FAF24E-281A-4123-94F1-44F423D7C60F}">
      <formula1>"Handyman,Electrical,HVAC,Plumber,Door Vendor,Locksmith,Appliances,Gym Professionals"</formula1>
    </dataValidation>
    <dataValidation type="list" allowBlank="1" showInputMessage="1" showErrorMessage="1" sqref="P529 P532:P600 P618" xr:uid="{131D0DD0-7FFF-46E4-8F82-BCD6C62D3694}">
      <formula1>"Assigned,Secured,OnSite,Return Trip Needed, Needs Proposal,Awaiting Approval,Approved Not Scheduled,Approved Scheduled ,Parts Needed,Awaiting Advice, Job Done, Billed For incurred,Canceled No Incurred ,Revised Quote Needed"</formula1>
    </dataValidation>
    <dataValidation type="list" allowBlank="1" showInputMessage="1" showErrorMessage="1" sqref="P531 P617" xr:uid="{A7C2D8E5-C3CE-4362-8915-7A62F7C25B6F}">
      <formula1>"Assigned,Secured,OnSite,Return Trip Needed, Needs Proposal,Awaiting Approval,Approved Not Scheduled,Approved Scheduled ,Parts Needed,Awaiting Advice, Job Done, Billed For incurred,Canceled No Incurred,Revised Quote Needed"</formula1>
    </dataValidation>
    <dataValidation type="list" allowBlank="1" showInputMessage="1" showErrorMessage="1" sqref="B532:B600" xr:uid="{A9F62BD1-51CA-46D3-8768-D725EC21B8AF}">
      <formula1>"Ryan Cole,David Smith,Jordan Evans,Lea James,Jerry Collins,Kyle Morgan ,Maxwell Cruz,Mitch Carr,Justin Walter,Charles Wilson"</formula1>
    </dataValidation>
    <dataValidation type="list" allowBlank="1" showInputMessage="1" showErrorMessage="1" sqref="F532:F600" xr:uid="{9B9017DF-F332-4EDE-890C-DD8D77ED1023}">
      <formula1>"Handyman,Electrical,HVAC,Plumber,Door Vendor,Locksmith,Appliances,Landscaping, General Contractor,Flooring"</formula1>
    </dataValidation>
    <dataValidation type="list" allowBlank="1" showInputMessage="1" showErrorMessage="1" sqref="P601:P616" xr:uid="{039AB809-7BED-4651-A4B3-0BDAA9A772EB}">
      <formula1>"Assigned,Secured,OnSite,Return Trip Needed, Needs Proposal,Awaiting Approval,Approved Not Scheduled,Approved Scheduled ,Parts Needed,Awaiting Advice, Job Done, Billed For incurred,Canceled No Incurred, On Hold,Revised Quote Needed"</formula1>
    </dataValidation>
    <dataValidation type="list" allowBlank="1" showInputMessage="1" showErrorMessage="1" sqref="F601:F616" xr:uid="{E6AC6AA7-7EE4-433A-8384-6E5AFED3C88F}">
      <formula1>"Handyman,Electrical,HVAC,Plumber,Door Vendor,Locksmith,Appliances,Janitorial,Cleaning,Mechanical,Flooring"</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052D-8293-4DCC-989E-7A9362F63E33}">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BA016-54D0-4B1C-840B-8ED0B4E83C02}">
  <dimension ref="A1:S21"/>
  <sheetViews>
    <sheetView workbookViewId="0">
      <selection activeCell="F15" sqref="F15"/>
    </sheetView>
  </sheetViews>
  <sheetFormatPr defaultRowHeight="14.4" x14ac:dyDescent="0.3"/>
  <sheetData>
    <row r="1" spans="1:19" x14ac:dyDescent="0.3">
      <c r="A1" t="s">
        <v>0</v>
      </c>
      <c r="B1" t="s">
        <v>1</v>
      </c>
      <c r="C1" s="1" t="s">
        <v>2</v>
      </c>
      <c r="D1" s="1" t="s">
        <v>3</v>
      </c>
      <c r="E1" t="s">
        <v>4</v>
      </c>
      <c r="F1" t="s">
        <v>5</v>
      </c>
      <c r="G1" t="s">
        <v>6</v>
      </c>
      <c r="H1" t="s">
        <v>7</v>
      </c>
      <c r="I1" t="s">
        <v>8</v>
      </c>
      <c r="J1" t="s">
        <v>9</v>
      </c>
      <c r="K1" s="2" t="s">
        <v>10</v>
      </c>
      <c r="L1" s="2" t="s">
        <v>11</v>
      </c>
      <c r="M1" s="2" t="s">
        <v>12</v>
      </c>
      <c r="N1" s="3" t="s">
        <v>13</v>
      </c>
      <c r="O1" t="s">
        <v>14</v>
      </c>
      <c r="P1" t="s">
        <v>15</v>
      </c>
      <c r="Q1" s="1" t="s">
        <v>16</v>
      </c>
      <c r="R1" t="s">
        <v>17</v>
      </c>
      <c r="S1" t="s">
        <v>18</v>
      </c>
    </row>
    <row r="2" spans="1:19" x14ac:dyDescent="0.3">
      <c r="C2" s="1"/>
      <c r="D2" s="1"/>
      <c r="K2" s="2"/>
      <c r="L2" s="2"/>
      <c r="M2" s="2"/>
      <c r="N2" s="3"/>
      <c r="Q2" s="1"/>
    </row>
    <row r="3" spans="1:19" x14ac:dyDescent="0.3">
      <c r="C3" s="1"/>
      <c r="D3" s="1"/>
      <c r="K3" s="2"/>
      <c r="L3" s="2"/>
      <c r="M3" s="2"/>
      <c r="N3" s="3"/>
      <c r="Q3" s="1"/>
    </row>
    <row r="4" spans="1:19" x14ac:dyDescent="0.3">
      <c r="C4" s="1"/>
      <c r="D4" s="1"/>
      <c r="K4" s="2"/>
      <c r="L4" s="2"/>
      <c r="M4" s="2"/>
      <c r="N4" s="3"/>
      <c r="Q4" s="1"/>
    </row>
    <row r="5" spans="1:19" x14ac:dyDescent="0.3">
      <c r="C5" s="1"/>
      <c r="D5" s="1"/>
      <c r="K5" s="2"/>
      <c r="L5" s="2"/>
      <c r="M5" s="2"/>
      <c r="N5" s="3"/>
      <c r="Q5" s="1"/>
    </row>
    <row r="6" spans="1:19" x14ac:dyDescent="0.3">
      <c r="C6" s="1"/>
      <c r="D6" s="1"/>
      <c r="K6" s="2"/>
      <c r="L6" s="2"/>
      <c r="M6" s="2"/>
      <c r="N6" s="3"/>
      <c r="Q6" s="1"/>
    </row>
    <row r="7" spans="1:19" x14ac:dyDescent="0.3">
      <c r="C7" s="1"/>
      <c r="D7" s="1"/>
      <c r="K7" s="2"/>
      <c r="L7" s="2"/>
      <c r="M7" s="2"/>
      <c r="N7" s="3"/>
      <c r="Q7" s="1"/>
    </row>
    <row r="8" spans="1:19" x14ac:dyDescent="0.3">
      <c r="C8" s="1"/>
      <c r="D8" s="1"/>
      <c r="K8" s="2"/>
      <c r="L8" s="2"/>
      <c r="M8" s="2"/>
      <c r="N8" s="3"/>
      <c r="Q8" s="1"/>
    </row>
    <row r="9" spans="1:19" x14ac:dyDescent="0.3">
      <c r="C9" s="1"/>
      <c r="D9" s="1"/>
      <c r="K9" s="2"/>
      <c r="L9" s="2"/>
      <c r="M9" s="2"/>
      <c r="N9" s="3"/>
      <c r="Q9" s="1"/>
    </row>
    <row r="10" spans="1:19" x14ac:dyDescent="0.3">
      <c r="C10" s="1"/>
      <c r="D10" s="1"/>
      <c r="K10" s="2"/>
      <c r="L10" s="2"/>
      <c r="M10" s="2"/>
      <c r="N10" s="3"/>
      <c r="Q10" s="1"/>
    </row>
    <row r="11" spans="1:19" x14ac:dyDescent="0.3">
      <c r="C11" s="1"/>
      <c r="D11" s="1"/>
      <c r="K11" s="2"/>
      <c r="L11" s="2"/>
      <c r="M11" s="2"/>
      <c r="N11" s="3"/>
      <c r="Q11" s="1"/>
    </row>
    <row r="12" spans="1:19" x14ac:dyDescent="0.3">
      <c r="C12" s="1"/>
      <c r="D12" s="1"/>
      <c r="K12" s="2"/>
      <c r="L12" s="2"/>
      <c r="M12" s="2"/>
      <c r="N12" s="3"/>
      <c r="Q12" s="1"/>
    </row>
    <row r="13" spans="1:19" x14ac:dyDescent="0.3">
      <c r="C13" s="1"/>
      <c r="D13" s="1"/>
      <c r="K13" s="2"/>
      <c r="L13" s="2"/>
      <c r="M13" s="2"/>
      <c r="N13" s="3"/>
      <c r="Q13" s="1"/>
    </row>
    <row r="14" spans="1:19" x14ac:dyDescent="0.3">
      <c r="C14" s="1"/>
      <c r="D14" s="1"/>
      <c r="K14" s="2"/>
      <c r="L14" s="2"/>
      <c r="M14" s="2"/>
      <c r="N14" s="3"/>
      <c r="Q14" s="1"/>
    </row>
    <row r="15" spans="1:19" x14ac:dyDescent="0.3">
      <c r="C15" s="1"/>
      <c r="D15" s="1"/>
      <c r="K15" s="2"/>
      <c r="L15" s="2"/>
      <c r="M15" s="2"/>
      <c r="N15" s="3"/>
      <c r="Q15" s="1"/>
    </row>
    <row r="16" spans="1:19" x14ac:dyDescent="0.3">
      <c r="C16" s="1"/>
      <c r="D16" s="1"/>
      <c r="K16" s="2"/>
      <c r="L16" s="2"/>
      <c r="M16" s="2"/>
      <c r="N16" s="3"/>
      <c r="Q16" s="1"/>
    </row>
    <row r="17" spans="3:17" x14ac:dyDescent="0.3">
      <c r="C17" s="1"/>
      <c r="D17" s="1"/>
      <c r="K17" s="2"/>
      <c r="L17" s="2"/>
      <c r="M17" s="2"/>
      <c r="N17" s="3"/>
      <c r="Q17" s="1"/>
    </row>
    <row r="18" spans="3:17" x14ac:dyDescent="0.3">
      <c r="C18" s="1"/>
      <c r="D18" s="1"/>
      <c r="K18" s="2"/>
      <c r="L18" s="2"/>
      <c r="M18" s="2"/>
      <c r="N18" s="3"/>
      <c r="Q18" s="1"/>
    </row>
    <row r="19" spans="3:17" x14ac:dyDescent="0.3">
      <c r="C19" s="1"/>
      <c r="D19" s="1"/>
      <c r="K19" s="2"/>
      <c r="L19" s="2"/>
      <c r="M19" s="2"/>
      <c r="N19" s="3"/>
      <c r="Q19" s="1"/>
    </row>
    <row r="20" spans="3:17" x14ac:dyDescent="0.3">
      <c r="C20" s="1"/>
      <c r="D20" s="1"/>
      <c r="K20" s="2"/>
      <c r="L20" s="2"/>
      <c r="M20" s="2"/>
      <c r="N20" s="3"/>
      <c r="Q20" s="1"/>
    </row>
    <row r="21" spans="3:17" x14ac:dyDescent="0.3">
      <c r="C21" s="1"/>
      <c r="D21" s="1"/>
      <c r="K21" s="2"/>
      <c r="L21" s="2"/>
      <c r="M21" s="2"/>
      <c r="N21" s="3"/>
      <c r="Q21" s="1"/>
    </row>
  </sheetData>
  <conditionalFormatting sqref="A2:S21">
    <cfRule type="expression" dxfId="35" priority="1">
      <formula>$P2="Awaiting Advice"</formula>
    </cfRule>
    <cfRule type="expression" dxfId="34" priority="2">
      <formula>$P2="Canceled No Incurred "</formula>
    </cfRule>
    <cfRule type="expression" dxfId="33" priority="3">
      <formula>$P2="Secured"</formula>
    </cfRule>
    <cfRule type="expression" dxfId="32" priority="4">
      <formula>$P2="Billed For incurred"</formula>
    </cfRule>
    <cfRule type="expression" dxfId="31" priority="5">
      <formula>$P2="Approved Scheduled "</formula>
    </cfRule>
    <cfRule type="expression" dxfId="30" priority="6">
      <formula>$P2="Return Trip Needed"</formula>
    </cfRule>
    <cfRule type="expression" dxfId="29" priority="7">
      <formula>$P2="Job Done"</formula>
    </cfRule>
    <cfRule type="expression" dxfId="28" priority="8">
      <formula>$P2="Approved Not Scheduled"</formula>
    </cfRule>
    <cfRule type="expression" dxfId="27" priority="9">
      <formula>$P2="OnSite"</formula>
    </cfRule>
    <cfRule type="expression" dxfId="26" priority="10">
      <formula>$P2="Parts Needed"</formula>
    </cfRule>
    <cfRule type="expression" dxfId="25" priority="11">
      <formula>$P2="Needs Proposal"</formula>
    </cfRule>
    <cfRule type="expression" dxfId="24" priority="12">
      <formula>$P2="Awaiting Approval"</formula>
    </cfRule>
  </conditionalFormatting>
  <dataValidations count="4">
    <dataValidation type="list" allowBlank="1" showInputMessage="1" showErrorMessage="1" sqref="J1:J21" xr:uid="{D77578AE-8FF4-418C-964F-565390696A0E}">
      <formula1>"AL, AK, AZ, AR, CA, CO, CT, DE, FL, GA, HI, ID, IL, IN, IA, KS, KY, LA, ME, MD, MA, MI, MN, MS, MO, MT, NE, NV, NH, NJ, NM, NY, NC, ND, OH, OK, OR, PA, RI, SC, SD, TN, TX, UT, VT, VA, WA, WV, WI, WY"</formula1>
    </dataValidation>
    <dataValidation type="list" allowBlank="1" showInputMessage="1" showErrorMessage="1" sqref="P1:P21" xr:uid="{0DBE9648-3A87-4D9E-A258-1FEF886579C0}">
      <formula1>"Assigned,Secured,OnSite,Return Trip Needed, Needs Proposal,Awaiting Approval,Approved Not Scheduled,Approved Scheduled ,Parts Needed,Awaiting Advice, Job Done, Billed For incurred,Canceled No Incurred "</formula1>
    </dataValidation>
    <dataValidation type="list" allowBlank="1" showInputMessage="1" showErrorMessage="1" sqref="F1:F21" xr:uid="{61094A0D-687D-4471-A5A8-1E0BA4FAF27D}">
      <formula1>"Handyman,Electrical,HVAC,Plumber,Door Vendor,Locksmith,Appliances"</formula1>
    </dataValidation>
    <dataValidation type="list" allowBlank="1" showInputMessage="1" showErrorMessage="1" sqref="B1:B21" xr:uid="{347F8DA6-D91C-4EF5-A011-E76129D64FFF}">
      <formula1>"Ryan Cole,David Smith,Jordan Evans,Lea James,Jerry Collins,Kyle Morgan ,Maxwell Cruz,Mitch Carr,Justin Walter "</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A689-A3A7-41A2-8C68-A7996BA33989}">
  <dimension ref="A1:S21"/>
  <sheetViews>
    <sheetView workbookViewId="0"/>
  </sheetViews>
  <sheetFormatPr defaultRowHeight="14.4" x14ac:dyDescent="0.3"/>
  <sheetData>
    <row r="1" spans="1:19" x14ac:dyDescent="0.3">
      <c r="A1" t="s">
        <v>0</v>
      </c>
      <c r="B1" t="s">
        <v>1</v>
      </c>
      <c r="C1" s="1" t="s">
        <v>2</v>
      </c>
      <c r="D1" s="1" t="s">
        <v>3</v>
      </c>
      <c r="E1" t="s">
        <v>4</v>
      </c>
      <c r="F1" t="s">
        <v>5</v>
      </c>
      <c r="G1" t="s">
        <v>6</v>
      </c>
      <c r="H1" t="s">
        <v>7</v>
      </c>
      <c r="I1" t="s">
        <v>8</v>
      </c>
      <c r="J1" t="s">
        <v>9</v>
      </c>
      <c r="K1" s="2" t="s">
        <v>10</v>
      </c>
      <c r="L1" s="2" t="s">
        <v>11</v>
      </c>
      <c r="M1" s="2" t="s">
        <v>12</v>
      </c>
      <c r="N1" s="3" t="s">
        <v>13</v>
      </c>
      <c r="O1" t="s">
        <v>14</v>
      </c>
      <c r="P1" t="s">
        <v>15</v>
      </c>
      <c r="Q1" s="1" t="s">
        <v>16</v>
      </c>
      <c r="R1" t="s">
        <v>17</v>
      </c>
      <c r="S1" t="s">
        <v>18</v>
      </c>
    </row>
    <row r="2" spans="1:19" x14ac:dyDescent="0.3">
      <c r="C2" s="1"/>
      <c r="D2" s="1"/>
      <c r="K2" s="2"/>
      <c r="L2" s="2"/>
      <c r="M2" s="2"/>
      <c r="N2" s="3"/>
      <c r="Q2" s="1"/>
    </row>
    <row r="3" spans="1:19" x14ac:dyDescent="0.3">
      <c r="C3" s="1"/>
      <c r="D3" s="1"/>
      <c r="K3" s="2"/>
      <c r="L3" s="2"/>
      <c r="M3" s="2"/>
      <c r="N3" s="3"/>
      <c r="Q3" s="1"/>
    </row>
    <row r="4" spans="1:19" x14ac:dyDescent="0.3">
      <c r="C4" s="1"/>
      <c r="D4" s="1"/>
      <c r="K4" s="2"/>
      <c r="L4" s="2"/>
      <c r="M4" s="2"/>
      <c r="N4" s="3"/>
      <c r="Q4" s="1"/>
    </row>
    <row r="5" spans="1:19" x14ac:dyDescent="0.3">
      <c r="C5" s="1"/>
      <c r="D5" s="1"/>
      <c r="K5" s="2"/>
      <c r="L5" s="2"/>
      <c r="M5" s="2"/>
      <c r="N5" s="3"/>
      <c r="Q5" s="1"/>
    </row>
    <row r="6" spans="1:19" x14ac:dyDescent="0.3">
      <c r="C6" s="1"/>
      <c r="D6" s="1"/>
      <c r="K6" s="2"/>
      <c r="L6" s="2"/>
      <c r="M6" s="2"/>
      <c r="N6" s="3"/>
      <c r="Q6" s="1"/>
    </row>
    <row r="7" spans="1:19" x14ac:dyDescent="0.3">
      <c r="C7" s="1"/>
      <c r="D7" s="1"/>
      <c r="K7" s="2"/>
      <c r="L7" s="2"/>
      <c r="M7" s="2"/>
      <c r="N7" s="3"/>
      <c r="Q7" s="1"/>
    </row>
    <row r="8" spans="1:19" x14ac:dyDescent="0.3">
      <c r="C8" s="1"/>
      <c r="D8" s="1"/>
      <c r="K8" s="2"/>
      <c r="L8" s="2"/>
      <c r="M8" s="2"/>
      <c r="N8" s="3"/>
      <c r="Q8" s="1"/>
    </row>
    <row r="9" spans="1:19" x14ac:dyDescent="0.3">
      <c r="C9" s="1"/>
      <c r="D9" s="1"/>
      <c r="K9" s="2"/>
      <c r="L9" s="2"/>
      <c r="M9" s="2"/>
      <c r="N9" s="3"/>
      <c r="Q9" s="1"/>
    </row>
    <row r="10" spans="1:19" x14ac:dyDescent="0.3">
      <c r="C10" s="1"/>
      <c r="D10" s="1"/>
      <c r="K10" s="2"/>
      <c r="L10" s="2"/>
      <c r="M10" s="2"/>
      <c r="N10" s="3"/>
      <c r="Q10" s="1"/>
    </row>
    <row r="11" spans="1:19" x14ac:dyDescent="0.3">
      <c r="C11" s="1"/>
      <c r="D11" s="1"/>
      <c r="K11" s="2"/>
      <c r="L11" s="2"/>
      <c r="M11" s="2"/>
      <c r="N11" s="3"/>
      <c r="Q11" s="1"/>
    </row>
    <row r="12" spans="1:19" x14ac:dyDescent="0.3">
      <c r="C12" s="1"/>
      <c r="D12" s="1"/>
      <c r="K12" s="2"/>
      <c r="L12" s="2"/>
      <c r="M12" s="2"/>
      <c r="N12" s="3"/>
      <c r="Q12" s="1"/>
    </row>
    <row r="13" spans="1:19" x14ac:dyDescent="0.3">
      <c r="C13" s="1"/>
      <c r="D13" s="1"/>
      <c r="K13" s="2"/>
      <c r="L13" s="2"/>
      <c r="M13" s="2"/>
      <c r="N13" s="3"/>
      <c r="Q13" s="1"/>
    </row>
    <row r="14" spans="1:19" x14ac:dyDescent="0.3">
      <c r="C14" s="1"/>
      <c r="D14" s="1"/>
      <c r="K14" s="2"/>
      <c r="L14" s="2"/>
      <c r="M14" s="2"/>
      <c r="N14" s="3"/>
      <c r="Q14" s="1"/>
    </row>
    <row r="15" spans="1:19" x14ac:dyDescent="0.3">
      <c r="C15" s="1"/>
      <c r="D15" s="1"/>
      <c r="K15" s="2"/>
      <c r="L15" s="2"/>
      <c r="M15" s="2"/>
      <c r="N15" s="3"/>
      <c r="Q15" s="1"/>
    </row>
    <row r="16" spans="1:19" x14ac:dyDescent="0.3">
      <c r="C16" s="1"/>
      <c r="D16" s="1"/>
      <c r="K16" s="2"/>
      <c r="L16" s="2"/>
      <c r="M16" s="2"/>
      <c r="N16" s="3"/>
      <c r="Q16" s="1"/>
    </row>
    <row r="17" spans="3:17" x14ac:dyDescent="0.3">
      <c r="C17" s="1"/>
      <c r="D17" s="1"/>
      <c r="K17" s="2"/>
      <c r="L17" s="2"/>
      <c r="M17" s="2"/>
      <c r="N17" s="3"/>
      <c r="Q17" s="1"/>
    </row>
    <row r="18" spans="3:17" x14ac:dyDescent="0.3">
      <c r="C18" s="1"/>
      <c r="D18" s="1"/>
      <c r="K18" s="2"/>
      <c r="L18" s="2"/>
      <c r="M18" s="2"/>
      <c r="N18" s="3"/>
      <c r="Q18" s="1"/>
    </row>
    <row r="19" spans="3:17" x14ac:dyDescent="0.3">
      <c r="C19" s="1"/>
      <c r="D19" s="1"/>
      <c r="K19" s="2"/>
      <c r="L19" s="2"/>
      <c r="M19" s="2"/>
      <c r="N19" s="3"/>
      <c r="Q19" s="1"/>
    </row>
    <row r="20" spans="3:17" x14ac:dyDescent="0.3">
      <c r="C20" s="1"/>
      <c r="D20" s="1"/>
      <c r="K20" s="2"/>
      <c r="L20" s="2"/>
      <c r="M20" s="2"/>
      <c r="N20" s="3"/>
      <c r="Q20" s="1"/>
    </row>
    <row r="21" spans="3:17" x14ac:dyDescent="0.3">
      <c r="C21" s="1"/>
      <c r="D21" s="1"/>
      <c r="K21" s="2"/>
      <c r="L21" s="2"/>
      <c r="M21" s="2"/>
      <c r="N21" s="3"/>
      <c r="Q21" s="1"/>
    </row>
  </sheetData>
  <conditionalFormatting sqref="A2:S21">
    <cfRule type="expression" dxfId="23" priority="1">
      <formula>$P2="Awaiting Advice"</formula>
    </cfRule>
    <cfRule type="expression" dxfId="22" priority="2">
      <formula>$P2="Canceled No Incurred "</formula>
    </cfRule>
    <cfRule type="expression" dxfId="21" priority="3">
      <formula>$P2="Secured"</formula>
    </cfRule>
    <cfRule type="expression" dxfId="20" priority="4">
      <formula>$P2="Billed For incurred"</formula>
    </cfRule>
    <cfRule type="expression" dxfId="19" priority="5">
      <formula>$P2="Approved Scheduled "</formula>
    </cfRule>
    <cfRule type="expression" dxfId="18" priority="6">
      <formula>$P2="Return Trip Needed"</formula>
    </cfRule>
    <cfRule type="expression" dxfId="17" priority="7">
      <formula>$P2="Job Done"</formula>
    </cfRule>
    <cfRule type="expression" dxfId="16" priority="8">
      <formula>$P2="Approved Not Scheduled"</formula>
    </cfRule>
    <cfRule type="expression" dxfId="15" priority="9">
      <formula>$P2="OnSite"</formula>
    </cfRule>
    <cfRule type="expression" dxfId="14" priority="10">
      <formula>$P2="Parts Needed"</formula>
    </cfRule>
    <cfRule type="expression" dxfId="13" priority="11">
      <formula>$P2="Needs Proposal"</formula>
    </cfRule>
    <cfRule type="expression" dxfId="12" priority="12">
      <formula>$P2="Awaiting Approval"</formula>
    </cfRule>
  </conditionalFormatting>
  <dataValidations count="4">
    <dataValidation type="list" allowBlank="1" showInputMessage="1" showErrorMessage="1" sqref="B1:B21" xr:uid="{162C6691-3666-4F0A-87DC-3A589BCB83DD}">
      <formula1>"Ryan Cole,David Smith,Jordan Evans,Lea James,Jerry Collins,Kyle Morgan ,Maxwell Cruz,Mitch Carr,Justin Walter "</formula1>
    </dataValidation>
    <dataValidation type="list" allowBlank="1" showInputMessage="1" showErrorMessage="1" sqref="F1:F21" xr:uid="{A41633D1-9A3B-42C1-B92B-A58E8ED96E6F}">
      <formula1>"Handyman,Electrical,HVAC,Plumber,Door Vendor,Locksmith,Appliances"</formula1>
    </dataValidation>
    <dataValidation type="list" allowBlank="1" showInputMessage="1" showErrorMessage="1" sqref="P1:P21" xr:uid="{276A3BEB-9BAC-44DB-B29B-25C8DE9AA948}">
      <formula1>"Assigned,Secured,OnSite,Return Trip Needed, Needs Proposal,Awaiting Approval,Approved Not Scheduled,Approved Scheduled ,Parts Needed,Awaiting Advice, Job Done, Billed For incurred,Canceled No Incurred "</formula1>
    </dataValidation>
    <dataValidation type="list" allowBlank="1" showInputMessage="1" showErrorMessage="1" sqref="J1:J21" xr:uid="{C2BAC1E4-D799-4F1B-93CC-1004473CF706}">
      <formula1>"AL, AK, AZ, AR, CA, CO, CT, DE, FL, GA, HI, ID, IL, IN, IA, KS, KY, LA, ME, MD, MA, MI, MN, MS, MO, MT, NE, NV, NH, NJ, NM, NY, NC, ND, OH, OK, OR, PA, RI, SC, SD, TN, TX, UT, VT, VA, WA, WV, WI, WY"</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8DC33-E46A-497A-A769-356DE3EBFC7E}">
  <dimension ref="A1:S21"/>
  <sheetViews>
    <sheetView topLeftCell="A6" workbookViewId="0"/>
  </sheetViews>
  <sheetFormatPr defaultRowHeight="14.4" x14ac:dyDescent="0.3"/>
  <cols>
    <col min="4" max="4" width="23.6640625" customWidth="1"/>
    <col min="16" max="16" width="16.109375" customWidth="1"/>
    <col min="17" max="17" width="14.109375" customWidth="1"/>
    <col min="18" max="18" width="19.44140625" customWidth="1"/>
    <col min="19" max="19" width="17.6640625" customWidth="1"/>
  </cols>
  <sheetData>
    <row r="1" spans="1:19" x14ac:dyDescent="0.3">
      <c r="A1" t="s">
        <v>0</v>
      </c>
      <c r="B1" t="s">
        <v>1</v>
      </c>
      <c r="C1" s="1" t="s">
        <v>2</v>
      </c>
      <c r="D1" s="1" t="s">
        <v>3</v>
      </c>
      <c r="E1" t="s">
        <v>4</v>
      </c>
      <c r="F1" t="s">
        <v>5</v>
      </c>
      <c r="G1" t="s">
        <v>6</v>
      </c>
      <c r="H1" t="s">
        <v>7</v>
      </c>
      <c r="I1" t="s">
        <v>8</v>
      </c>
      <c r="J1" t="s">
        <v>9</v>
      </c>
      <c r="K1" s="2" t="s">
        <v>10</v>
      </c>
      <c r="L1" s="2" t="s">
        <v>11</v>
      </c>
      <c r="M1" s="2" t="s">
        <v>12</v>
      </c>
      <c r="N1" s="3" t="s">
        <v>13</v>
      </c>
      <c r="O1" t="s">
        <v>14</v>
      </c>
      <c r="P1" t="s">
        <v>15</v>
      </c>
      <c r="Q1" s="1" t="s">
        <v>16</v>
      </c>
      <c r="R1" t="s">
        <v>17</v>
      </c>
      <c r="S1" t="s">
        <v>18</v>
      </c>
    </row>
    <row r="2" spans="1:19" x14ac:dyDescent="0.3">
      <c r="C2" s="1"/>
      <c r="D2" s="1"/>
      <c r="K2" s="2"/>
      <c r="L2" s="2"/>
      <c r="M2" s="2"/>
      <c r="N2" s="3"/>
      <c r="Q2" s="1"/>
    </row>
    <row r="3" spans="1:19" x14ac:dyDescent="0.3">
      <c r="C3" s="1"/>
      <c r="D3" s="1"/>
      <c r="K3" s="2"/>
      <c r="L3" s="2"/>
      <c r="M3" s="2"/>
      <c r="N3" s="3"/>
      <c r="Q3" s="1"/>
    </row>
    <row r="4" spans="1:19" x14ac:dyDescent="0.3">
      <c r="C4" s="1"/>
      <c r="D4" s="1"/>
      <c r="K4" s="2"/>
      <c r="L4" s="2"/>
      <c r="M4" s="2"/>
      <c r="N4" s="3"/>
      <c r="Q4" s="1"/>
    </row>
    <row r="5" spans="1:19" x14ac:dyDescent="0.3">
      <c r="C5" s="1"/>
      <c r="D5" s="1"/>
      <c r="K5" s="2"/>
      <c r="L5" s="2"/>
      <c r="M5" s="2"/>
      <c r="N5" s="3"/>
      <c r="Q5" s="1"/>
    </row>
    <row r="6" spans="1:19" x14ac:dyDescent="0.3">
      <c r="C6" s="1"/>
      <c r="D6" s="1"/>
      <c r="K6" s="2"/>
      <c r="L6" s="2"/>
      <c r="M6" s="2"/>
      <c r="N6" s="3"/>
      <c r="Q6" s="1"/>
    </row>
    <row r="7" spans="1:19" x14ac:dyDescent="0.3">
      <c r="C7" s="1"/>
      <c r="D7" s="1"/>
      <c r="K7" s="2"/>
      <c r="L7" s="2"/>
      <c r="M7" s="2"/>
      <c r="N7" s="3"/>
      <c r="Q7" s="1"/>
    </row>
    <row r="8" spans="1:19" x14ac:dyDescent="0.3">
      <c r="C8" s="1"/>
      <c r="D8" s="1"/>
      <c r="K8" s="2"/>
      <c r="L8" s="2"/>
      <c r="M8" s="2"/>
      <c r="N8" s="3"/>
      <c r="Q8" s="1"/>
    </row>
    <row r="9" spans="1:19" x14ac:dyDescent="0.3">
      <c r="C9" s="1"/>
      <c r="D9" s="1"/>
      <c r="K9" s="2"/>
      <c r="L9" s="2"/>
      <c r="M9" s="2"/>
      <c r="N9" s="3"/>
      <c r="Q9" s="1"/>
    </row>
    <row r="10" spans="1:19" x14ac:dyDescent="0.3">
      <c r="C10" s="1"/>
      <c r="D10" s="1"/>
      <c r="K10" s="2"/>
      <c r="L10" s="2"/>
      <c r="M10" s="2"/>
      <c r="N10" s="3"/>
      <c r="Q10" s="1"/>
    </row>
    <row r="11" spans="1:19" x14ac:dyDescent="0.3">
      <c r="C11" s="1"/>
      <c r="D11" s="1"/>
      <c r="K11" s="2"/>
      <c r="L11" s="2"/>
      <c r="M11" s="2"/>
      <c r="N11" s="3"/>
      <c r="Q11" s="1"/>
    </row>
    <row r="12" spans="1:19" x14ac:dyDescent="0.3">
      <c r="C12" s="1"/>
      <c r="D12" s="1"/>
      <c r="K12" s="2"/>
      <c r="L12" s="2"/>
      <c r="M12" s="2"/>
      <c r="N12" s="3"/>
      <c r="Q12" s="1"/>
    </row>
    <row r="13" spans="1:19" x14ac:dyDescent="0.3">
      <c r="C13" s="1"/>
      <c r="D13" s="1"/>
      <c r="K13" s="2"/>
      <c r="L13" s="2"/>
      <c r="M13" s="2"/>
      <c r="N13" s="3"/>
      <c r="Q13" s="1"/>
    </row>
    <row r="14" spans="1:19" x14ac:dyDescent="0.3">
      <c r="C14" s="1"/>
      <c r="D14" s="1"/>
      <c r="K14" s="2"/>
      <c r="L14" s="2"/>
      <c r="M14" s="2"/>
      <c r="N14" s="3"/>
      <c r="Q14" s="1"/>
    </row>
    <row r="15" spans="1:19" x14ac:dyDescent="0.3">
      <c r="C15" s="1"/>
      <c r="D15" s="1"/>
      <c r="K15" s="2"/>
      <c r="L15" s="2"/>
      <c r="M15" s="2"/>
      <c r="N15" s="3"/>
      <c r="Q15" s="1"/>
    </row>
    <row r="16" spans="1:19" x14ac:dyDescent="0.3">
      <c r="C16" s="1"/>
      <c r="D16" s="1"/>
      <c r="K16" s="2"/>
      <c r="L16" s="2"/>
      <c r="M16" s="2"/>
      <c r="N16" s="3"/>
      <c r="Q16" s="1"/>
    </row>
    <row r="17" spans="3:17" x14ac:dyDescent="0.3">
      <c r="C17" s="1"/>
      <c r="D17" s="1"/>
      <c r="K17" s="2"/>
      <c r="L17" s="2"/>
      <c r="M17" s="2"/>
      <c r="N17" s="3"/>
      <c r="Q17" s="1"/>
    </row>
    <row r="18" spans="3:17" x14ac:dyDescent="0.3">
      <c r="C18" s="1"/>
      <c r="D18" s="1"/>
      <c r="K18" s="2"/>
      <c r="L18" s="2"/>
      <c r="M18" s="2"/>
      <c r="N18" s="3"/>
      <c r="Q18" s="1"/>
    </row>
    <row r="19" spans="3:17" x14ac:dyDescent="0.3">
      <c r="C19" s="1"/>
      <c r="D19" s="1"/>
      <c r="K19" s="2"/>
      <c r="L19" s="2"/>
      <c r="M19" s="2"/>
      <c r="N19" s="3"/>
      <c r="Q19" s="1"/>
    </row>
    <row r="20" spans="3:17" x14ac:dyDescent="0.3">
      <c r="C20" s="1"/>
      <c r="D20" s="1"/>
      <c r="K20" s="2"/>
      <c r="L20" s="2"/>
      <c r="M20" s="2"/>
      <c r="N20" s="3"/>
      <c r="Q20" s="1"/>
    </row>
    <row r="21" spans="3:17" x14ac:dyDescent="0.3">
      <c r="C21" s="1"/>
      <c r="D21" s="1"/>
      <c r="K21" s="2"/>
      <c r="L21" s="2"/>
      <c r="M21" s="2"/>
      <c r="N21" s="3"/>
      <c r="Q21" s="1"/>
    </row>
  </sheetData>
  <conditionalFormatting sqref="A2:S21">
    <cfRule type="expression" dxfId="11" priority="1">
      <formula>$P2="Awaiting Advice"</formula>
    </cfRule>
    <cfRule type="expression" dxfId="10" priority="2">
      <formula>$P2="Canceled No Incurred "</formula>
    </cfRule>
    <cfRule type="expression" dxfId="9" priority="3">
      <formula>$P2="Secured"</formula>
    </cfRule>
    <cfRule type="expression" dxfId="8" priority="4">
      <formula>$P2="Billed For incurred"</formula>
    </cfRule>
    <cfRule type="expression" dxfId="7" priority="5">
      <formula>$P2="Approved Scheduled "</formula>
    </cfRule>
    <cfRule type="expression" dxfId="6" priority="6">
      <formula>$P2="Return Trip Needed"</formula>
    </cfRule>
    <cfRule type="expression" dxfId="5" priority="7">
      <formula>$P2="Job Done"</formula>
    </cfRule>
    <cfRule type="expression" dxfId="4" priority="8">
      <formula>$P2="Approved Not Scheduled"</formula>
    </cfRule>
    <cfRule type="expression" dxfId="3" priority="9">
      <formula>$P2="OnSite"</formula>
    </cfRule>
    <cfRule type="expression" dxfId="2" priority="10">
      <formula>$P2="Parts Needed"</formula>
    </cfRule>
    <cfRule type="expression" dxfId="1" priority="11">
      <formula>$P2="Needs Proposal"</formula>
    </cfRule>
    <cfRule type="expression" dxfId="0" priority="12">
      <formula>$P2="Awaiting Approval"</formula>
    </cfRule>
  </conditionalFormatting>
  <dataValidations count="4">
    <dataValidation type="list" allowBlank="1" showInputMessage="1" showErrorMessage="1" sqref="B1:B21" xr:uid="{309CAB11-3437-4A98-8E95-4904C9AF088A}">
      <formula1>"Ryan Cole,David Smith,Jordan Evans,Lea James,Jerry Collins,Kyle Morgan ,Maxwell Cruz,Mitch Carr,Justin Walter "</formula1>
    </dataValidation>
    <dataValidation type="list" allowBlank="1" showInputMessage="1" showErrorMessage="1" sqref="F1:F21" xr:uid="{E07D87EE-5405-4BAE-B2FB-FE2E88641C39}">
      <formula1>"Handyman,Electrical,HVAC,Plumber,Door Vendor,Locksmith,Appliances"</formula1>
    </dataValidation>
    <dataValidation type="list" allowBlank="1" showInputMessage="1" showErrorMessage="1" sqref="P1:P21" xr:uid="{6686C30F-7498-4F8C-BB93-52B19029A9BA}">
      <formula1>"Assigned,Secured,OnSite,Return Trip Needed, Needs Proposal,Awaiting Approval,Approved Not Scheduled,Approved Scheduled ,Parts Needed,Awaiting Advice, Job Done, Billed For incurred,Canceled No Incurred "</formula1>
    </dataValidation>
    <dataValidation type="list" allowBlank="1" showInputMessage="1" showErrorMessage="1" sqref="J1:J21" xr:uid="{C92F6D7C-747F-4293-8041-A8F91878BB18}">
      <formula1>"AL, AK, AZ, AR, CA, CO, CT, DE, FL, GA, HI, ID, IL, IN, IA, KS, KY, LA, ME, MD, MA, MI, MN, MS, MO, MT, NE, NV, NH, NJ, NM, NY, NC, ND, OH, OK, OR, PA, RI, SC, SD, TN, TX, UT, VT, VA, WA, WV, WI, WY"</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Q1 </vt:lpstr>
      <vt:lpstr>Sheet1</vt:lpstr>
      <vt:lpstr>Q2</vt:lpstr>
      <vt:lpstr>Q3</vt:lpstr>
      <vt:lpstr>q4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Lenovo</cp:lastModifiedBy>
  <cp:revision/>
  <dcterms:created xsi:type="dcterms:W3CDTF">2026-03-06T21:55:32Z</dcterms:created>
  <dcterms:modified xsi:type="dcterms:W3CDTF">2026-04-01T15:05:15Z</dcterms:modified>
  <cp:category/>
  <cp:contentStatus/>
</cp:coreProperties>
</file>